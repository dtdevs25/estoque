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fonicacorp.sharepoint.com/sites/SegurancadoTrabalho-Brasil.TMBNL/Shared Documents/5 - Gestão de EPIS/"/>
    </mc:Choice>
  </mc:AlternateContent>
  <xr:revisionPtr revIDLastSave="11597" documentId="6_{0BA65265-8BED-4FCB-8B7C-72048B01EBE4}" xr6:coauthVersionLast="47" xr6:coauthVersionMax="47" xr10:uidLastSave="{83D6FA98-0D5C-4C4E-8CBC-B5AE7EDFDE7F}"/>
  <bookViews>
    <workbookView xWindow="20370" yWindow="-120" windowWidth="20730" windowHeight="11040" tabRatio="913" firstSheet="2" activeTab="5" xr2:uid="{D870EF5B-26D0-42DF-BEFE-4A92AD60CE84}"/>
  </bookViews>
  <sheets>
    <sheet name="ESTOQUE SUL - RS" sheetId="4" r:id="rId1"/>
    <sheet name="ESTOQUE SUL - SC" sheetId="6" r:id="rId2"/>
    <sheet name="ESTOQUE - SPO" sheetId="1" r:id="rId3"/>
    <sheet name="ESTOQUE SUL - PR" sheetId="2" r:id="rId4"/>
    <sheet name="ESTOQUE SDT - RJ" sheetId="5" r:id="rId5"/>
    <sheet name="ESTOQUE SDT-MG" sheetId="12" r:id="rId6"/>
    <sheet name="ESTOQUE SDT - ES" sheetId="13" r:id="rId7"/>
    <sheet name="ESTOQUE CWN - DF" sheetId="11" r:id="rId8"/>
    <sheet name="ESTOQUE CWN- PA" sheetId="17" r:id="rId9"/>
    <sheet name="ESTOQUE CWN - AM" sheetId="18" r:id="rId10"/>
    <sheet name="ESTOQUE CWN - MA" sheetId="19" r:id="rId11"/>
    <sheet name="ESTOQUE CWN - GO" sheetId="10" r:id="rId12"/>
    <sheet name="ESTOQUE CWN - MT" sheetId="16" r:id="rId13"/>
    <sheet name="ESTOQUE CWN - MS" sheetId="15" r:id="rId14"/>
    <sheet name="ESTOQUE NDT - BA" sheetId="9" r:id="rId15"/>
    <sheet name="ESTOQUE NDT - CE" sheetId="8" r:id="rId16"/>
    <sheet name="ESTOQUE NDT - PE" sheetId="7" r:id="rId17"/>
  </sheets>
  <definedNames>
    <definedName name="_xlnm._FilterDatabase" localSheetId="2" hidden="1">'ESTOQUE - SPO'!$A$4:$G$4</definedName>
    <definedName name="_xlnm._FilterDatabase" localSheetId="7" hidden="1">'ESTOQUE CWN - DF'!$A$4:$G$4</definedName>
    <definedName name="_xlnm._FilterDatabase" localSheetId="13" hidden="1">'ESTOQUE CWN - MS'!$A$4:$H$4</definedName>
    <definedName name="_xlnm._FilterDatabase" localSheetId="6" hidden="1">'ESTOQUE SDT - ES'!$A$4:$G$4</definedName>
    <definedName name="_xlnm._FilterDatabase" localSheetId="4" hidden="1">'ESTOQUE SDT - RJ'!$A$4:$G$4</definedName>
    <definedName name="_xlnm._FilterDatabase" localSheetId="5" hidden="1">'ESTOQUE SDT-MG'!$A$4:$G$4</definedName>
    <definedName name="_xlnm._FilterDatabase" localSheetId="3" hidden="1">'ESTOQUE SUL - PR'!$A$4:$G$4</definedName>
    <definedName name="_xlnm._FilterDatabase" localSheetId="0" hidden="1">'ESTOQUE SUL - RS'!$A$4:$G$66</definedName>
    <definedName name="_xlnm._FilterDatabase" localSheetId="1" hidden="1">'ESTOQUE SUL - SC'!$A$4:$G$4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2" l="1"/>
  <c r="F61" i="12"/>
  <c r="F60" i="12"/>
  <c r="F59" i="12"/>
  <c r="F58" i="12"/>
  <c r="F57" i="12"/>
  <c r="F56" i="12"/>
  <c r="F55" i="12"/>
  <c r="F54" i="12"/>
  <c r="F53" i="12"/>
  <c r="F52" i="12"/>
  <c r="F44" i="12"/>
  <c r="F43" i="12"/>
  <c r="F7" i="5"/>
  <c r="F8" i="5"/>
  <c r="F9" i="5"/>
  <c r="F10" i="5"/>
  <c r="F11" i="5"/>
  <c r="F12" i="5"/>
  <c r="A7" i="5"/>
  <c r="F72" i="19"/>
  <c r="F71" i="19"/>
  <c r="F70" i="19"/>
  <c r="F69" i="19"/>
  <c r="F67" i="19"/>
  <c r="F66" i="19"/>
  <c r="F65" i="19"/>
  <c r="F64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C6" i="19"/>
  <c r="F6" i="19" s="1"/>
  <c r="F5" i="19"/>
  <c r="F11" i="17"/>
  <c r="F19" i="17"/>
  <c r="F27" i="17"/>
  <c r="F35" i="17"/>
  <c r="F43" i="17"/>
  <c r="F51" i="17"/>
  <c r="F55" i="17"/>
  <c r="F5" i="17"/>
  <c r="F41" i="12"/>
  <c r="F40" i="12"/>
  <c r="F39" i="12"/>
  <c r="F23" i="12"/>
  <c r="F22" i="12"/>
  <c r="E64" i="6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" i="4"/>
  <c r="A7" i="4"/>
  <c r="A8" i="4"/>
  <c r="A9" i="4"/>
  <c r="A10" i="4"/>
  <c r="A5" i="4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5" i="15"/>
  <c r="C6" i="17"/>
  <c r="F6" i="17" s="1"/>
  <c r="F7" i="17"/>
  <c r="F8" i="17"/>
  <c r="F9" i="17"/>
  <c r="F10" i="17"/>
  <c r="F12" i="17"/>
  <c r="F13" i="17"/>
  <c r="F14" i="17"/>
  <c r="F15" i="17"/>
  <c r="F16" i="17"/>
  <c r="F17" i="17"/>
  <c r="F18" i="17"/>
  <c r="F20" i="17"/>
  <c r="F21" i="17"/>
  <c r="F22" i="17"/>
  <c r="F23" i="17"/>
  <c r="F24" i="17"/>
  <c r="F25" i="17"/>
  <c r="F26" i="17"/>
  <c r="F28" i="17"/>
  <c r="F29" i="17"/>
  <c r="F30" i="17"/>
  <c r="F31" i="17"/>
  <c r="F32" i="17"/>
  <c r="F33" i="17"/>
  <c r="F34" i="17"/>
  <c r="F36" i="17"/>
  <c r="F37" i="17"/>
  <c r="F38" i="17"/>
  <c r="F39" i="17"/>
  <c r="F40" i="17"/>
  <c r="F41" i="17"/>
  <c r="F42" i="17"/>
  <c r="F45" i="17"/>
  <c r="F46" i="17"/>
  <c r="F47" i="17"/>
  <c r="F48" i="17"/>
  <c r="F49" i="17"/>
  <c r="F50" i="17"/>
  <c r="F52" i="17"/>
  <c r="F53" i="17"/>
  <c r="F54" i="17"/>
  <c r="F56" i="17"/>
  <c r="F57" i="17"/>
  <c r="F58" i="17"/>
  <c r="F65" i="17"/>
  <c r="F66" i="17"/>
  <c r="F67" i="17"/>
  <c r="F68" i="17"/>
  <c r="F70" i="17"/>
  <c r="F71" i="17"/>
  <c r="F72" i="17"/>
  <c r="F73" i="17"/>
  <c r="F38" i="9"/>
  <c r="F37" i="9"/>
  <c r="F36" i="9"/>
  <c r="F35" i="9"/>
  <c r="F34" i="9"/>
  <c r="F33" i="9"/>
  <c r="F32" i="9"/>
  <c r="F39" i="9"/>
  <c r="F9" i="9"/>
  <c r="F8" i="9"/>
  <c r="F7" i="9"/>
  <c r="F6" i="9"/>
  <c r="F5" i="9"/>
  <c r="F60" i="16"/>
  <c r="F57" i="16"/>
  <c r="F58" i="16"/>
  <c r="F59" i="16"/>
  <c r="F56" i="16"/>
  <c r="F44" i="16"/>
  <c r="F42" i="16"/>
  <c r="F46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3" i="16"/>
  <c r="F45" i="16"/>
  <c r="F5" i="16"/>
  <c r="F72" i="11"/>
  <c r="F71" i="11"/>
  <c r="F70" i="11"/>
  <c r="F69" i="11"/>
  <c r="F67" i="11"/>
  <c r="F66" i="11"/>
  <c r="F65" i="11"/>
  <c r="F64" i="11"/>
  <c r="F73" i="11" a="1"/>
  <c r="F73" i="11" s="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C6" i="11"/>
  <c r="F6" i="11"/>
  <c r="F5" i="11"/>
  <c r="C5" i="4"/>
  <c r="F5" i="4" s="1"/>
  <c r="C13" i="4"/>
  <c r="C14" i="4"/>
  <c r="F14" i="4" s="1"/>
  <c r="C15" i="4"/>
  <c r="F15" i="4" s="1"/>
  <c r="C16" i="4"/>
  <c r="C17" i="4"/>
  <c r="F17" i="4" s="1"/>
  <c r="C18" i="4"/>
  <c r="C19" i="4"/>
  <c r="F19" i="4" s="1"/>
  <c r="C20" i="4"/>
  <c r="F20" i="4" s="1"/>
  <c r="C21" i="4"/>
  <c r="C13" i="6" s="1"/>
  <c r="F13" i="6" s="1"/>
  <c r="C22" i="4"/>
  <c r="F22" i="4" s="1"/>
  <c r="C31" i="4"/>
  <c r="C34" i="4"/>
  <c r="C29" i="6" s="1"/>
  <c r="F29" i="6" s="1"/>
  <c r="C35" i="4"/>
  <c r="C15" i="6" s="1"/>
  <c r="F15" i="6" s="1"/>
  <c r="C36" i="4"/>
  <c r="C38" i="4"/>
  <c r="C50" i="4"/>
  <c r="F50" i="4" s="1"/>
  <c r="C49" i="4"/>
  <c r="C47" i="4"/>
  <c r="C48" i="4"/>
  <c r="F48" i="4" s="1"/>
  <c r="C55" i="4"/>
  <c r="F55" i="4" s="1"/>
  <c r="C56" i="4"/>
  <c r="C58" i="4"/>
  <c r="C57" i="4"/>
  <c r="C61" i="4"/>
  <c r="C62" i="4"/>
  <c r="C52" i="6"/>
  <c r="F52" i="6" s="1"/>
  <c r="C63" i="4"/>
  <c r="F63" i="4" s="1"/>
  <c r="C6" i="4"/>
  <c r="F69" i="2"/>
  <c r="F68" i="2"/>
  <c r="F67" i="2"/>
  <c r="F66" i="2"/>
  <c r="F10" i="4"/>
  <c r="F42" i="2"/>
  <c r="F53" i="4"/>
  <c r="F52" i="4"/>
  <c r="F51" i="4"/>
  <c r="F54" i="4"/>
  <c r="F7" i="4"/>
  <c r="F8" i="4"/>
  <c r="F9" i="4"/>
  <c r="F25" i="4"/>
  <c r="F23" i="4"/>
  <c r="F24" i="4"/>
  <c r="F26" i="4"/>
  <c r="F11" i="4"/>
  <c r="F12" i="4"/>
  <c r="C125" i="2"/>
  <c r="F125" i="2"/>
  <c r="C124" i="2"/>
  <c r="F124" i="2" s="1"/>
  <c r="C123" i="2"/>
  <c r="F123" i="2" s="1"/>
  <c r="C122" i="2"/>
  <c r="F122" i="2" s="1"/>
  <c r="F121" i="2"/>
  <c r="C120" i="2"/>
  <c r="F120" i="2"/>
  <c r="C119" i="2"/>
  <c r="F119" i="2"/>
  <c r="C118" i="2"/>
  <c r="F118" i="2" s="1"/>
  <c r="C117" i="2"/>
  <c r="F117" i="2" s="1"/>
  <c r="C116" i="2"/>
  <c r="F116" i="2"/>
  <c r="C115" i="2"/>
  <c r="F115" i="2"/>
  <c r="C113" i="2"/>
  <c r="F113" i="2" s="1"/>
  <c r="C112" i="2"/>
  <c r="F112" i="2" s="1"/>
  <c r="C111" i="2"/>
  <c r="F111" i="2"/>
  <c r="C110" i="2"/>
  <c r="F110" i="2"/>
  <c r="C109" i="2"/>
  <c r="F109" i="2" s="1"/>
  <c r="C108" i="2"/>
  <c r="F108" i="2" s="1"/>
  <c r="C107" i="2"/>
  <c r="F107" i="2"/>
  <c r="C106" i="2"/>
  <c r="F106" i="2"/>
  <c r="C105" i="2"/>
  <c r="F105" i="2" s="1"/>
  <c r="C104" i="2"/>
  <c r="F104" i="2" s="1"/>
  <c r="C103" i="2"/>
  <c r="F103" i="2"/>
  <c r="C102" i="2"/>
  <c r="F102" i="2"/>
  <c r="C101" i="2"/>
  <c r="F101" i="2" s="1"/>
  <c r="C100" i="2"/>
  <c r="F100" i="2" s="1"/>
  <c r="C99" i="2"/>
  <c r="F99" i="2"/>
  <c r="C98" i="2"/>
  <c r="F98" i="2"/>
  <c r="C97" i="2"/>
  <c r="F97" i="2" s="1"/>
  <c r="C96" i="2"/>
  <c r="F96" i="2" s="1"/>
  <c r="C95" i="2"/>
  <c r="F95" i="2"/>
  <c r="C94" i="2"/>
  <c r="F94" i="2"/>
  <c r="C93" i="2"/>
  <c r="F93" i="2" s="1"/>
  <c r="C92" i="2"/>
  <c r="F92" i="2" s="1"/>
  <c r="C91" i="2"/>
  <c r="F91" i="2"/>
  <c r="C90" i="2"/>
  <c r="F90" i="2"/>
  <c r="C89" i="2"/>
  <c r="F89" i="2" s="1"/>
  <c r="C88" i="2"/>
  <c r="F88" i="2" s="1"/>
  <c r="F128" i="2" s="1"/>
  <c r="C87" i="2"/>
  <c r="F87" i="2"/>
  <c r="F80" i="2"/>
  <c r="F79" i="2"/>
  <c r="F78" i="2"/>
  <c r="F77" i="2"/>
  <c r="F43" i="5"/>
  <c r="F67" i="5"/>
  <c r="F68" i="5"/>
  <c r="F30" i="13"/>
  <c r="F37" i="13"/>
  <c r="F40" i="13"/>
  <c r="F52" i="13"/>
  <c r="F70" i="13"/>
  <c r="F71" i="13"/>
  <c r="F72" i="13"/>
  <c r="F69" i="13"/>
  <c r="F65" i="13"/>
  <c r="F66" i="13"/>
  <c r="F67" i="13"/>
  <c r="F64" i="13"/>
  <c r="F38" i="12"/>
  <c r="F66" i="12"/>
  <c r="F84" i="12"/>
  <c r="F85" i="12"/>
  <c r="F86" i="12"/>
  <c r="F83" i="12"/>
  <c r="F79" i="12"/>
  <c r="F80" i="12"/>
  <c r="F81" i="12"/>
  <c r="F78" i="12"/>
  <c r="F85" i="5"/>
  <c r="F86" i="5"/>
  <c r="F87" i="5"/>
  <c r="F84" i="5"/>
  <c r="F80" i="5"/>
  <c r="F81" i="5"/>
  <c r="F82" i="5"/>
  <c r="F79" i="5"/>
  <c r="F88" i="5" a="1"/>
  <c r="F88" i="5"/>
  <c r="F61" i="2"/>
  <c r="F62" i="2"/>
  <c r="F63" i="2"/>
  <c r="F60" i="2"/>
  <c r="F56" i="2"/>
  <c r="F57" i="2"/>
  <c r="F58" i="2"/>
  <c r="F55" i="2"/>
  <c r="F43" i="2"/>
  <c r="F46" i="6"/>
  <c r="F60" i="4"/>
  <c r="F77" i="4"/>
  <c r="F78" i="4"/>
  <c r="F79" i="4"/>
  <c r="F76" i="4"/>
  <c r="F72" i="4"/>
  <c r="F73" i="4"/>
  <c r="F74" i="4"/>
  <c r="F71" i="4"/>
  <c r="F64" i="6"/>
  <c r="F65" i="6"/>
  <c r="F66" i="6"/>
  <c r="F63" i="6"/>
  <c r="F59" i="6"/>
  <c r="F60" i="6"/>
  <c r="F61" i="6"/>
  <c r="F58" i="6"/>
  <c r="F40" i="4"/>
  <c r="F43" i="4"/>
  <c r="F42" i="4"/>
  <c r="F41" i="4"/>
  <c r="F44" i="4"/>
  <c r="F32" i="4"/>
  <c r="F33" i="6"/>
  <c r="F26" i="6"/>
  <c r="F33" i="4"/>
  <c r="F35" i="6"/>
  <c r="F47" i="12"/>
  <c r="C5" i="2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5" i="7"/>
  <c r="F37" i="7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5" i="8"/>
  <c r="F37" i="8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10" i="9"/>
  <c r="F53" i="9"/>
  <c r="F6" i="15"/>
  <c r="F7" i="15"/>
  <c r="F8" i="15"/>
  <c r="F9" i="15"/>
  <c r="F10" i="15"/>
  <c r="F11" i="15"/>
  <c r="F12" i="15"/>
  <c r="F54" i="15" s="1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C47" i="2"/>
  <c r="F47" i="2"/>
  <c r="C7" i="2"/>
  <c r="F7" i="2"/>
  <c r="F6" i="13"/>
  <c r="F7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2" i="13"/>
  <c r="F33" i="13"/>
  <c r="F34" i="13"/>
  <c r="F35" i="13"/>
  <c r="F53" i="13"/>
  <c r="F38" i="13"/>
  <c r="F39" i="13"/>
  <c r="F41" i="13"/>
  <c r="F43" i="13"/>
  <c r="F44" i="13"/>
  <c r="F45" i="13"/>
  <c r="F46" i="13"/>
  <c r="F47" i="13"/>
  <c r="F48" i="13"/>
  <c r="F49" i="13"/>
  <c r="F50" i="13"/>
  <c r="F51" i="13"/>
  <c r="F54" i="13"/>
  <c r="F55" i="13"/>
  <c r="F57" i="13"/>
  <c r="F56" i="13"/>
  <c r="F42" i="13"/>
  <c r="F5" i="13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4" i="12"/>
  <c r="F25" i="12"/>
  <c r="F26" i="12"/>
  <c r="F28" i="12"/>
  <c r="F29" i="12"/>
  <c r="F30" i="12"/>
  <c r="F31" i="12"/>
  <c r="F33" i="12"/>
  <c r="F67" i="12"/>
  <c r="F35" i="12"/>
  <c r="F36" i="12"/>
  <c r="F37" i="12"/>
  <c r="F42" i="12"/>
  <c r="F46" i="12"/>
  <c r="F48" i="12"/>
  <c r="F49" i="12"/>
  <c r="F50" i="12"/>
  <c r="F51" i="12"/>
  <c r="F63" i="12"/>
  <c r="F64" i="12"/>
  <c r="F65" i="12"/>
  <c r="F68" i="12"/>
  <c r="F69" i="12"/>
  <c r="F72" i="12"/>
  <c r="F71" i="12"/>
  <c r="F45" i="12"/>
  <c r="F34" i="12"/>
  <c r="F27" i="12"/>
  <c r="F5" i="12"/>
  <c r="F41" i="5"/>
  <c r="F44" i="5"/>
  <c r="F47" i="5"/>
  <c r="F48" i="5"/>
  <c r="F49" i="5"/>
  <c r="F50" i="5"/>
  <c r="F51" i="5"/>
  <c r="F52" i="5"/>
  <c r="F65" i="5"/>
  <c r="F66" i="5"/>
  <c r="F69" i="5"/>
  <c r="F70" i="5"/>
  <c r="F73" i="5"/>
  <c r="F72" i="5"/>
  <c r="F42" i="5"/>
  <c r="F45" i="5"/>
  <c r="F36" i="5"/>
  <c r="F5" i="5"/>
  <c r="F40" i="5"/>
  <c r="F39" i="5"/>
  <c r="F38" i="5"/>
  <c r="F35" i="5"/>
  <c r="F34" i="5"/>
  <c r="F33" i="5"/>
  <c r="F32" i="5"/>
  <c r="F31" i="5"/>
  <c r="F30" i="5"/>
  <c r="F29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C6" i="5"/>
  <c r="F6" i="5" s="1"/>
  <c r="C32" i="2"/>
  <c r="F36" i="2" s="1"/>
  <c r="C25" i="2"/>
  <c r="F25" i="2"/>
  <c r="C46" i="2"/>
  <c r="F46" i="2"/>
  <c r="C45" i="2"/>
  <c r="F45" i="2"/>
  <c r="C44" i="2"/>
  <c r="F44" i="2"/>
  <c r="C27" i="2"/>
  <c r="F27" i="2"/>
  <c r="C24" i="2"/>
  <c r="F24" i="2"/>
  <c r="F5" i="2"/>
  <c r="C30" i="2"/>
  <c r="F30" i="2" s="1"/>
  <c r="C28" i="2"/>
  <c r="F28" i="2" s="1"/>
  <c r="C41" i="2"/>
  <c r="F41" i="2" s="1"/>
  <c r="C40" i="2"/>
  <c r="F40" i="2"/>
  <c r="C38" i="2"/>
  <c r="F38" i="2" s="1"/>
  <c r="C39" i="2"/>
  <c r="F39" i="2" s="1"/>
  <c r="C37" i="2"/>
  <c r="F37" i="2"/>
  <c r="C29" i="2"/>
  <c r="F29" i="2"/>
  <c r="F26" i="2"/>
  <c r="C23" i="2"/>
  <c r="F23" i="2"/>
  <c r="C22" i="2"/>
  <c r="F22" i="2" s="1"/>
  <c r="C21" i="2"/>
  <c r="F21" i="2"/>
  <c r="C20" i="2"/>
  <c r="F20" i="2" s="1"/>
  <c r="C19" i="2"/>
  <c r="F19" i="2" s="1"/>
  <c r="C18" i="2"/>
  <c r="F18" i="2" s="1"/>
  <c r="C17" i="2"/>
  <c r="F17" i="2" s="1"/>
  <c r="C16" i="2"/>
  <c r="F16" i="2"/>
  <c r="C15" i="2"/>
  <c r="F15" i="2" s="1"/>
  <c r="C14" i="2"/>
  <c r="F14" i="2" s="1"/>
  <c r="C13" i="2"/>
  <c r="F13" i="2"/>
  <c r="C12" i="2"/>
  <c r="F12" i="2"/>
  <c r="C11" i="2"/>
  <c r="F11" i="2" s="1"/>
  <c r="C10" i="2"/>
  <c r="F10" i="2" s="1"/>
  <c r="C9" i="2"/>
  <c r="F9" i="2"/>
  <c r="C8" i="2"/>
  <c r="F8" i="2"/>
  <c r="C6" i="2"/>
  <c r="F6" i="2" s="1"/>
  <c r="C50" i="6"/>
  <c r="F50" i="6" s="1"/>
  <c r="C44" i="6"/>
  <c r="F44" i="6"/>
  <c r="C43" i="6"/>
  <c r="F43" i="6"/>
  <c r="F34" i="6"/>
  <c r="F30" i="6"/>
  <c r="F40" i="6"/>
  <c r="C23" i="6"/>
  <c r="F23" i="6" s="1"/>
  <c r="C22" i="6"/>
  <c r="F22" i="6" s="1"/>
  <c r="C21" i="6"/>
  <c r="F21" i="6" s="1"/>
  <c r="C49" i="6"/>
  <c r="F49" i="6"/>
  <c r="F29" i="4"/>
  <c r="F28" i="4"/>
  <c r="F27" i="4"/>
  <c r="F30" i="4"/>
  <c r="C24" i="6"/>
  <c r="F24" i="6" s="1"/>
  <c r="F18" i="4"/>
  <c r="F67" i="6" a="1"/>
  <c r="F67" i="6"/>
  <c r="F71" i="2"/>
  <c r="F62" i="4"/>
  <c r="F73" i="13" a="1"/>
  <c r="F73" i="13"/>
  <c r="F59" i="13"/>
  <c r="F28" i="5"/>
  <c r="C5" i="6"/>
  <c r="F5" i="6" s="1"/>
  <c r="C8" i="6"/>
  <c r="F8" i="6" s="1"/>
  <c r="C9" i="6"/>
  <c r="F9" i="6" s="1"/>
  <c r="F13" i="4"/>
  <c r="C10" i="6"/>
  <c r="F10" i="6" s="1"/>
  <c r="C11" i="6"/>
  <c r="F11" i="6" s="1"/>
  <c r="C12" i="6"/>
  <c r="F12" i="6" s="1"/>
  <c r="F16" i="4"/>
  <c r="F31" i="4"/>
  <c r="C25" i="6"/>
  <c r="F25" i="6" s="1"/>
  <c r="C27" i="6"/>
  <c r="C28" i="6"/>
  <c r="F28" i="6" s="1"/>
  <c r="F35" i="4"/>
  <c r="F36" i="4"/>
  <c r="F38" i="4"/>
  <c r="C16" i="6"/>
  <c r="F16" i="6" s="1"/>
  <c r="C32" i="6"/>
  <c r="F32" i="6" s="1"/>
  <c r="C17" i="6"/>
  <c r="F17" i="6" s="1"/>
  <c r="C39" i="6"/>
  <c r="F39" i="6" s="1"/>
  <c r="F49" i="4"/>
  <c r="C18" i="6"/>
  <c r="F18" i="6" s="1"/>
  <c r="F47" i="4"/>
  <c r="C19" i="6"/>
  <c r="F19" i="6" s="1"/>
  <c r="C20" i="6"/>
  <c r="F20" i="6" s="1"/>
  <c r="C41" i="6"/>
  <c r="F41" i="6" s="1"/>
  <c r="F56" i="4"/>
  <c r="C42" i="6"/>
  <c r="F42" i="6" s="1"/>
  <c r="F58" i="4"/>
  <c r="F61" i="4"/>
  <c r="C48" i="6"/>
  <c r="F48" i="6" s="1"/>
  <c r="F27" i="6"/>
  <c r="F87" i="12" l="1" a="1"/>
  <c r="F87" i="12" s="1"/>
  <c r="F64" i="2" a="1"/>
  <c r="F64" i="2" s="1"/>
  <c r="F81" i="2" s="1" a="1"/>
  <c r="F81" i="2" s="1"/>
  <c r="F59" i="19"/>
  <c r="F73" i="19" a="1"/>
  <c r="F73" i="19" s="1"/>
  <c r="F59" i="11"/>
  <c r="F74" i="17" a="1"/>
  <c r="F74" i="17" s="1"/>
  <c r="H36" i="10"/>
  <c r="H36" i="18"/>
  <c r="F60" i="17"/>
  <c r="F74" i="5"/>
  <c r="F33" i="2"/>
  <c r="F34" i="2"/>
  <c r="F34" i="4"/>
  <c r="F35" i="2"/>
  <c r="F32" i="2"/>
  <c r="F73" i="12"/>
  <c r="C14" i="6"/>
  <c r="F14" i="6" s="1"/>
  <c r="F53" i="6" s="1"/>
  <c r="F80" i="4" a="1"/>
  <c r="F80" i="4" s="1"/>
  <c r="F21" i="4"/>
  <c r="F66" i="4" l="1"/>
  <c r="F5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<sst xmlns="http://schemas.openxmlformats.org/spreadsheetml/2006/main" count="1993" uniqueCount="371">
  <si>
    <t>Nome do Responsável Estoque - Tst ou Eng.: Luis Martins</t>
  </si>
  <si>
    <t>Data da atualização da Planilha: 24/07/2026</t>
  </si>
  <si>
    <t>Estoque da Cidade/Base: Porto Alegre/RS</t>
  </si>
  <si>
    <t xml:space="preserve">Nº </t>
  </si>
  <si>
    <t>DESCRIÇÃO</t>
  </si>
  <si>
    <t>R$ /item</t>
  </si>
  <si>
    <t xml:space="preserve">TAM.  </t>
  </si>
  <si>
    <t xml:space="preserve">QTD </t>
  </si>
  <si>
    <t>R$ /estoque</t>
  </si>
  <si>
    <t>OBS.:</t>
  </si>
  <si>
    <t>BALDE DE LONA</t>
  </si>
  <si>
    <t>-</t>
  </si>
  <si>
    <t>REPOR ESTOQUE</t>
  </si>
  <si>
    <t>BANDEROLA PARA ESCADA</t>
  </si>
  <si>
    <t xml:space="preserve">BOTA DE PVC  </t>
  </si>
  <si>
    <t>BOTINA  DE SEGURANÇA 34</t>
  </si>
  <si>
    <t>BOTINA  DE SEGURANÇA 35</t>
  </si>
  <si>
    <t>BOTINA  DE SEGURANÇA 36</t>
  </si>
  <si>
    <t>BOTINA  DE SEGURANÇA 37</t>
  </si>
  <si>
    <t>BOTINA  DE SEGURANÇA 38</t>
  </si>
  <si>
    <t>BOTINA  DE SEGURANÇA 39</t>
  </si>
  <si>
    <t>BOTINA  DE SEGURANÇA 40</t>
  </si>
  <si>
    <t>BOTINA  DE SEGURANÇA 41</t>
  </si>
  <si>
    <t>BOTINA  DE SEGURANÇA 42</t>
  </si>
  <si>
    <t>BOTINA  DE SEGURANÇA 43</t>
  </si>
  <si>
    <t>BOTINA  DE SEGURANÇA 44</t>
  </si>
  <si>
    <t>BOTINA  DE SEGURANÇA 45</t>
  </si>
  <si>
    <t xml:space="preserve">CALÇA IMPERMEÁVEL PVC </t>
  </si>
  <si>
    <t>M</t>
  </si>
  <si>
    <t>G</t>
  </si>
  <si>
    <t xml:space="preserve">CALÇA IMPERMEÁVEL PVC  </t>
  </si>
  <si>
    <t>P</t>
  </si>
  <si>
    <t>XG</t>
  </si>
  <si>
    <t>CAPA DE CHUVA PVC AMARELA  G</t>
  </si>
  <si>
    <t>CAPA DE CHUVA PVC AMARELA  M</t>
  </si>
  <si>
    <t>CAPA DE CHUVA PVC AMARELA P</t>
  </si>
  <si>
    <t>CAPA DE CHUVA PVC AMARELA XG</t>
  </si>
  <si>
    <t>GG</t>
  </si>
  <si>
    <t xml:space="preserve">CAPACETE CLASSE B - ABA FRONTAL COM SUSPENSÃO E CATRACA </t>
  </si>
  <si>
    <t xml:space="preserve">CARNEIRA + CATRACA  </t>
  </si>
  <si>
    <t xml:space="preserve">CHAVE DETECTORA DE TENSÃO </t>
  </si>
  <si>
    <t>CINTO DE SEGURANÇA MODELO PARAQUEDISTA TRABALHO EM ALTURA</t>
  </si>
  <si>
    <t>COLETE DE SINALIZAÇÃO REFLETIVO</t>
  </si>
  <si>
    <t>CONE DE SINALIZAÇÃO</t>
  </si>
  <si>
    <t>50cm</t>
  </si>
  <si>
    <t>DISPOSITIVO GARRA MEIO DE VÃO</t>
  </si>
  <si>
    <t>GARRAFA TÉRMICA  3,5 LITROS</t>
  </si>
  <si>
    <t>GARRAFA TÉRMICA  5 LITROS</t>
  </si>
  <si>
    <t>JUGULAR TECIDO PARA CAPACETE 3M</t>
  </si>
  <si>
    <t>LUVA DE SEGURANÇA PU ANTICORTE  G  (9)</t>
  </si>
  <si>
    <t>LUVA DE SEGURANÇA PU ANTICORTE  M  (8)</t>
  </si>
  <si>
    <t>LUVA DE SEGURANÇA PU ANTICORTE  P (7)</t>
  </si>
  <si>
    <t>LUVA DE SEGURANÇA PU ANTICORTE  XG  (10)</t>
  </si>
  <si>
    <t>LUVA DE COBERTURA PARA LUVAS ISOLANTES</t>
  </si>
  <si>
    <t>LUVA DE VAQUETA CANO CURTO XG</t>
  </si>
  <si>
    <t>LUVA DE VAQUETA CANO CURTO   G</t>
  </si>
  <si>
    <t>LUVA DE VAQUETA CANO CURTO  GG</t>
  </si>
  <si>
    <t>LUVA DE VAQUETA CANO CURTO  M</t>
  </si>
  <si>
    <t>LUVA DE VAQUETA CANO CURTO  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</si>
  <si>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</si>
  <si>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MACACÃO TYVEK  M</t>
  </si>
  <si>
    <t>MACACÃO TYVEK  P</t>
  </si>
  <si>
    <t>MACACÃO TYVEK  XG</t>
  </si>
  <si>
    <t>ÓCULOS DE SEGURANÇA - ESCURO</t>
  </si>
  <si>
    <t>ÓCULOS DE SEGURANÇA - INCOLOR</t>
  </si>
  <si>
    <t>ÒCULOS DE SEGURANÇA DE SOBREPOSIÇÃO ESCURO</t>
  </si>
  <si>
    <t>ÒCULOS DE SEGURANÇA DE SOBREPOSIÇÃO INCOLOR</t>
  </si>
  <si>
    <t xml:space="preserve">PROTETOR AURICULAR </t>
  </si>
  <si>
    <t xml:space="preserve">PROTETOR SOLAR FPS 60 C/ REPELENTE </t>
  </si>
  <si>
    <t>SISTEMA DE RESGATE DE PESSOAS PARA ESCADA - KIT LVM</t>
  </si>
  <si>
    <t xml:space="preserve">TALABARTE DE POSICIONAMENTO COM REGULAGEM 2 METROS </t>
  </si>
  <si>
    <t>TALABARTE DE PREVENÇÃO DE QUEDAS "Y" COM ABSORVEDOR</t>
  </si>
  <si>
    <t>TOUCA ÁRABE</t>
  </si>
  <si>
    <t>TRAVA QUEDAS PARA CORDA 12MM</t>
  </si>
  <si>
    <t>ERGO ATUALIZADO EM:  30/07/2025</t>
  </si>
  <si>
    <t>ESTOQUE PCD / TELETRABALHO</t>
  </si>
  <si>
    <t>APOIO PARA OS PÉS</t>
  </si>
  <si>
    <t>KEY PAD</t>
  </si>
  <si>
    <t>MOUSE PAD</t>
  </si>
  <si>
    <t>SUPORTE PARA NOTEBOOK</t>
  </si>
  <si>
    <t>ESTOQUE ADM  ERGONOMICO</t>
  </si>
  <si>
    <t>Nome do Responsável Estoque - Tst ou Eng.: Bruno Odir Ramos</t>
  </si>
  <si>
    <t>Data da atualização da Planilha:  10/08/2026</t>
  </si>
  <si>
    <t>Estoque da Cidade/Base: São José/SC</t>
  </si>
  <si>
    <t>BANDEIROLA</t>
  </si>
  <si>
    <t>BOLSA PARA KIT LVM</t>
  </si>
  <si>
    <t>CALÇADO DE SEGURANÇA - TIPO BOTINA</t>
  </si>
  <si>
    <t>CAPA DE CHUVA PVC AMARELA</t>
  </si>
  <si>
    <t xml:space="preserve">CONE DE SINALIZAÇÃO (75 cm) </t>
  </si>
  <si>
    <t>GARRA MEIO DE VÃO</t>
  </si>
  <si>
    <t>GARRAFA TÉRMICA</t>
  </si>
  <si>
    <t xml:space="preserve">LUVA DE COBERTURA EM VAQUETA CANO LONGO  </t>
  </si>
  <si>
    <t>LUVA DE SEGURANÇA PU ANTICORTE P</t>
  </si>
  <si>
    <t>LUVA DE SEGURANÇA PU ANTICORTE M</t>
  </si>
  <si>
    <t>LUVA DE SEGURANÇA PU ANTICORTE G</t>
  </si>
  <si>
    <t>LUVA DE SEGURANÇA PU ANTICORTE XG</t>
  </si>
  <si>
    <t xml:space="preserve">LUVA DE VAQUETA CANO CURTO </t>
  </si>
  <si>
    <t>LUVA ISOLANTE - CLASSE 00</t>
  </si>
  <si>
    <t>ÓCULOS DE SOBREPOSIÇÃO - ESCURO</t>
  </si>
  <si>
    <t>ÓCULOS DE SOBREPOSIÇÃO - INCOLOR</t>
  </si>
  <si>
    <t>PROTETOR LABIAL</t>
  </si>
  <si>
    <t>PROTETOR SOLAR FPS 60 C/ REPELENTE</t>
  </si>
  <si>
    <t>ESTOJO PARA RESGATE LVM</t>
  </si>
  <si>
    <t>TOUCA ARABE</t>
  </si>
  <si>
    <t>Nome do Responsável Estoque (TST ou ENG): MÁRCIO CURY</t>
  </si>
  <si>
    <t xml:space="preserve">Responsáveis: CAIUBI (MÁRCIO)/ BARRA FUNDA (CÉSAR)/ R. PRETO (CÉSAR)/ CAMPINAS e PIRACICABA (PEDRO ROSSI)/ MOGI (ÉRIK) </t>
  </si>
  <si>
    <t>Estoque da Cidade ou Base: SÃO PAULO - SP</t>
  </si>
  <si>
    <t>Valor do Item</t>
  </si>
  <si>
    <t>CAIUBI</t>
  </si>
  <si>
    <t>RIBEIRÃO PRETO</t>
  </si>
  <si>
    <t>BARRA FUNDA</t>
  </si>
  <si>
    <t>CAMPINAS</t>
  </si>
  <si>
    <t>PIRACICABA</t>
  </si>
  <si>
    <t>MOGI DAS CRUZES</t>
  </si>
  <si>
    <t>INVENTÁRIO REALIZADO EM:</t>
  </si>
  <si>
    <t>13/08/2026</t>
  </si>
  <si>
    <t>22/07/2026</t>
  </si>
  <si>
    <t>22/06/2026</t>
  </si>
  <si>
    <t>UN</t>
  </si>
  <si>
    <t>BANDEIROLA DE SINALIZAÇÃO SEM CABO</t>
  </si>
  <si>
    <t>BOLSA PARA CORDA LVM</t>
  </si>
  <si>
    <t>BOTINA DE PVC</t>
  </si>
  <si>
    <t xml:space="preserve">CAPACETE CLASSE B - ABA FRONTAL </t>
  </si>
  <si>
    <t>CARNEIRA + CATRACA</t>
  </si>
  <si>
    <t>CARTUCHO  VO  HONEYHELL RESPI</t>
  </si>
  <si>
    <t>CINTO DE SEGURANÇA TRABALHO EM ALTURA</t>
  </si>
  <si>
    <t>CINTO ERGONÔMICO</t>
  </si>
  <si>
    <t>CONE DE SINALIZAÇÃO (50 cm)</t>
  </si>
  <si>
    <t>CONE DE SINALIZAÇÃO (75 cm)</t>
  </si>
  <si>
    <t xml:space="preserve">DISPOSITIVO GARRA MEIO VÃO </t>
  </si>
  <si>
    <t>GARRAFA TÉRMICA 3,5 LITROS</t>
  </si>
  <si>
    <t>GARRAFA TÉRMICA 5,0 LITROS</t>
  </si>
  <si>
    <t>LUV ALTA TENSÃO  CLASSE 00 TIPO II</t>
  </si>
  <si>
    <t>LUVA DE MALHA PU ANTICORTE</t>
  </si>
  <si>
    <t>LUVA DE VAQUETA CANO CURTO</t>
  </si>
  <si>
    <t>LUVA  PVC FORRADA</t>
  </si>
  <si>
    <t>LUVA PETROLEIRA</t>
  </si>
  <si>
    <t>MACACÃO  QUIMICO DUPONT</t>
  </si>
  <si>
    <t>XXG</t>
  </si>
  <si>
    <t>ÓCULOS DE SEGURANÇA ESCURO</t>
  </si>
  <si>
    <t>ÓCULOS DE SEGURANÇA INCOLOR</t>
  </si>
  <si>
    <t>ÓCULOS DE SEGURANÇA SOBREPOSIÇÃO ESCURO</t>
  </si>
  <si>
    <t>ÓCULOS DE SEGURANÇA SOBREPOSIÇÃO INCOLOR</t>
  </si>
  <si>
    <t>PALMILHA</t>
  </si>
  <si>
    <t xml:space="preserve">PERNEIRA DE PROTEÇÃO </t>
  </si>
  <si>
    <t>PAR</t>
  </si>
  <si>
    <t>PROTETOR AURICULAR TIPO CONCHA</t>
  </si>
  <si>
    <t>PROTETOR AURICULAR TIPO PLUG</t>
  </si>
  <si>
    <r>
      <rPr>
        <sz val="10"/>
        <color rgb="FF000000"/>
        <rFont val="Calibri"/>
      </rPr>
      <t>PROTETOR SOLAR FPS 60 C/ REPELENTE  (</t>
    </r>
    <r>
      <rPr>
        <sz val="10"/>
        <color rgb="FFFF0000"/>
        <rFont val="Calibri"/>
      </rPr>
      <t>OBS.: VENCE EM: ??)</t>
    </r>
  </si>
  <si>
    <t>RESPIRADOR SEMIFACIAL  HONEYWELL 2 CARTUCHOS</t>
  </si>
  <si>
    <t>SISTEMA DE RESGATE "KIT LVM"</t>
  </si>
  <si>
    <t xml:space="preserve">TALABARTE DE PREVENÇÃO DE QUEDAS "Y" COM ABSORVEDOR </t>
  </si>
  <si>
    <t>TRAPÉZIO  SUSPENSOR ESPAÇO CONFINADO</t>
  </si>
  <si>
    <t>EQUIPAMENTOS PARA TORRISTA</t>
  </si>
  <si>
    <t>CAPACETE MONTANA PARA TORRISTA</t>
  </si>
  <si>
    <t>CINTO DE SEGURANÇA PARA TORRISTA</t>
  </si>
  <si>
    <t>TALABARTE DE POSICIONAMENTO PARA TORRISTA</t>
  </si>
  <si>
    <t>TALABARTE EM "Y" PARA TORRISTA</t>
  </si>
  <si>
    <t>TRAVA QUEDAS PARA CABO DE AÇO 8MM</t>
  </si>
  <si>
    <t>ITENS ERGONÔMICOS</t>
  </si>
  <si>
    <t xml:space="preserve">ERGO ATUALIZADO EM: </t>
  </si>
  <si>
    <t>R$ p/ UN</t>
  </si>
  <si>
    <t>Data: xx/xx</t>
  </si>
  <si>
    <t>ESTOQUE ADM</t>
  </si>
  <si>
    <t>ESTOQUE PCD/ TELETRABALHO</t>
  </si>
  <si>
    <t>ECO BERRINI</t>
  </si>
  <si>
    <t>CHUCRI</t>
  </si>
  <si>
    <t>CO SANTO AMARO</t>
  </si>
  <si>
    <t>junto ADM</t>
  </si>
  <si>
    <t>Nome do Responsável Estoque - Tst ou Eng.: MAICON JOSE DE OLIVEIRA</t>
  </si>
  <si>
    <t>Data da atualização da Planilha: 03/07/2026</t>
  </si>
  <si>
    <t>Estoque da Cidade/Base: Curitiba - PR</t>
  </si>
  <si>
    <t> </t>
  </si>
  <si>
    <t>CARNEIRA DE TECIDO COM CATRACA</t>
  </si>
  <si>
    <t>GARRA DE MEIO DE VÃO</t>
  </si>
  <si>
    <t>JUGULAR PARA CAPACETE</t>
  </si>
  <si>
    <t>LUVA DE SEGURANÇA PU ANTICORTE</t>
  </si>
  <si>
    <t xml:space="preserve">ÓCULOS DE SEGURANÇA DE SOBREPOR </t>
  </si>
  <si>
    <t>ÓCULOS DE SEGURANÇA DE SOBREPOR ESCURO</t>
  </si>
  <si>
    <t xml:space="preserve"> PROTETOR SOLAR FPS 60 C/ REPELENTE </t>
  </si>
  <si>
    <t>Kit para os telecom</t>
  </si>
  <si>
    <t>ERGO ATUALIZADO EM:  02/06/2026 - Curitiba -PR</t>
  </si>
  <si>
    <t>Sala RH</t>
  </si>
  <si>
    <r>
      <rPr>
        <sz val="11"/>
        <color rgb="FFFFFFFF"/>
        <rFont val="Calibri"/>
        <scheme val="minor"/>
      </rPr>
      <t xml:space="preserve">ESTOQUE ADM / CALL CENTER - PRADO VELHO       </t>
    </r>
    <r>
      <rPr>
        <sz val="11"/>
        <color rgb="FFFFFF00"/>
        <rFont val="Calibri"/>
        <scheme val="minor"/>
      </rPr>
      <t>ATUALIZADO 14/10/2025</t>
    </r>
  </si>
  <si>
    <t>PEDIDO DE 50 - 03/08/25</t>
  </si>
  <si>
    <t>PEDIDO DE 150 - 03/08/25</t>
  </si>
  <si>
    <t>PEDIDO DE 100 - 03/08/25</t>
  </si>
  <si>
    <t>ABAFADOR DE RUIDOS</t>
  </si>
  <si>
    <t>ERGO ATUALIZADO EM:  02/06/2026 - Maringá -PR</t>
  </si>
  <si>
    <t>Almoxarifado (Maringá)</t>
  </si>
  <si>
    <t>Nome do Responsável Estoque - Tst ou Eng. ANDRE CICERO GALLI</t>
  </si>
  <si>
    <t>Data da atualização da Planilha: 20/07/2026</t>
  </si>
  <si>
    <t>Estoque da Cidade/Base: Maringá (Londrina, Cascavel e Foz do Iguaçu) PR</t>
  </si>
  <si>
    <t xml:space="preserve">CALÇADO DE SEGURANÇA - TIPO BOTINA </t>
  </si>
  <si>
    <r>
      <rPr>
        <sz val="10"/>
        <color rgb="FF000000"/>
        <rFont val="Calibri"/>
        <family val="2"/>
      </rPr>
      <t xml:space="preserve">PROTETOR SOLAR FPS 30 C/ REPELENTE  </t>
    </r>
    <r>
      <rPr>
        <b/>
        <sz val="10"/>
        <color rgb="FFFF0000"/>
        <rFont val="Calibri"/>
        <family val="2"/>
      </rPr>
      <t>(Validade:19/12/2023)</t>
    </r>
  </si>
  <si>
    <r>
      <rPr>
        <sz val="10"/>
        <color rgb="FF000000"/>
        <rFont val="Calibri"/>
        <family val="2"/>
      </rPr>
      <t xml:space="preserve"> PROTETOR SOLAR FPS 60 C/ REPELENTE  </t>
    </r>
    <r>
      <rPr>
        <b/>
        <sz val="10"/>
        <color rgb="FFFF0000"/>
        <rFont val="Calibri"/>
        <family val="2"/>
      </rPr>
      <t>(Validade: XX/XX)</t>
    </r>
  </si>
  <si>
    <t>FITA ZEBRADA</t>
  </si>
  <si>
    <t xml:space="preserve">Nome do Responsável Estoque - Tst ou Eng.: Aline de Oliveira Rodrigues / Luis Carlos Neves Passeri </t>
  </si>
  <si>
    <t>Data da atualização da Planilha: 08/07/2026</t>
  </si>
  <si>
    <t>Estoque da Cidade/Base: Vila Isabel - Rio de Janeiro - RJ</t>
  </si>
  <si>
    <t>ÁLCOOL GEL</t>
  </si>
  <si>
    <t>BOTA PVC LONGA 32 CM Nº 38</t>
  </si>
  <si>
    <t>BOTA PVC LONGA 32 CM Nº 39</t>
  </si>
  <si>
    <t>BOTA PVC LONGA 32 CM Nº 40</t>
  </si>
  <si>
    <t>BOTA PVC LONGA 32 CM Nº 41</t>
  </si>
  <si>
    <t>BOTA PVC LONGA 32 CM Nº 42</t>
  </si>
  <si>
    <t>BOTINA DE SEGURANCA SEM BIQUEIRA (VICHI) Nº 33</t>
  </si>
  <si>
    <t>BOTINA DE SEGURANCA SEM BIQUEIRA (VICHI) Nº 34</t>
  </si>
  <si>
    <t>BOTINA DE SEGURANCA SEM BIQUEIRA (VICHI) Nº 35</t>
  </si>
  <si>
    <t>BOTINA DE SEGURANCA SEM BIQUEIRA (VICHI) Nº 36</t>
  </si>
  <si>
    <t>BOTINA DE SEGURANCA SEM BIQUEIRA (VICHI) Nº 37</t>
  </si>
  <si>
    <t>BOTINA DE SEGURANCA SEM BIQUEIRA (VICHI) Nº 38</t>
  </si>
  <si>
    <t>BOTINA DE SEGURANCA SEM BIQUEIRA (VICHI) Nº 39</t>
  </si>
  <si>
    <t>BOTINA DE SEGURANCA SEM BIQUEIRA (VICHI) Nº 40</t>
  </si>
  <si>
    <t>BOTINA DE SEGURANCA SEM BIQUEIRA (VICHI) Nº 41</t>
  </si>
  <si>
    <t>BOTINA DE SEGURANCA SEM BIQUEIRA (VICHI) Nº 42</t>
  </si>
  <si>
    <t>BOTINA DE SEGURANCA SEM BIQUEIRA (VICHI) Nº 43</t>
  </si>
  <si>
    <t>BOTINA DE SEGURANCA SEM BIQUEIRA (VICHI) Nº 44</t>
  </si>
  <si>
    <t>BOTINA DE SEGURANCA SEM BIQUEIRA (VICHI) Nº 45</t>
  </si>
  <si>
    <t>BOTINA DE SEGURANCA SEM BIQUEIRA (VICHI) Nº 46</t>
  </si>
  <si>
    <t>BOTINA DE SEGURANCA SEM BIQUEIRA (VICHI) Nº 48</t>
  </si>
  <si>
    <t>CAPA DE CHUVA COM CAPUZ AMARELA</t>
  </si>
  <si>
    <t>CAPACETE ALPINISTA SEM ABA</t>
  </si>
  <si>
    <t xml:space="preserve">CARNEIRA + CATRACA PARA CAPACETE </t>
  </si>
  <si>
    <t xml:space="preserve">CINTO DE SEGURANÇA - TELECOM </t>
  </si>
  <si>
    <t>COLETE DE SINALIZAÇÃO</t>
  </si>
  <si>
    <t>CONE DE SINALIZAÇÃO BORRACHA, LARANJA/BRANCO, 50 CM</t>
  </si>
  <si>
    <t>FITA DE ANCORAGEM AMARELA</t>
  </si>
  <si>
    <t>GARRAFA TÉRMICA – 3,5</t>
  </si>
  <si>
    <t>JUGULAR TECIDO CAPACETE 3M</t>
  </si>
  <si>
    <t>LUVA ISOLANTE - CLASSE 00 –  500 V</t>
  </si>
  <si>
    <t>LUVA DE PVC CANO CURTO VERDE</t>
  </si>
  <si>
    <t>LUVA DE VAQUETA CONFORT SEM DEDO</t>
  </si>
  <si>
    <t>LUVA PIGMENTADA</t>
  </si>
  <si>
    <t>MÁSCARA DE PANO - ROXA VIVO (pacote com 5)</t>
  </si>
  <si>
    <t>MOSQUETÃO OVAL AÇO TRAVA ROSCA</t>
  </si>
  <si>
    <t>ÓCULOS DE SEGURANÇA - FUMÊ</t>
  </si>
  <si>
    <t>ÓCULOS DE SEGURANÇA - SOBREPOR FUMÊ</t>
  </si>
  <si>
    <t>ÓCULOS DE SEGURANÇA - SOBREPOR INCOLOR</t>
  </si>
  <si>
    <t>PALMILHA MARLUVAS Nº 35</t>
  </si>
  <si>
    <t>PALMILHA MARLUVAS Nº 36</t>
  </si>
  <si>
    <t>PALMILHA MARLUVAS Nº 37</t>
  </si>
  <si>
    <t>PALMILHA MARLUVAS Nº 38</t>
  </si>
  <si>
    <t>PALMILHA MARLUVAS Nº 39</t>
  </si>
  <si>
    <t>PALMILHA MARLUVAS Nº 40</t>
  </si>
  <si>
    <t>PALMILHA MARLUVAS Nº 41</t>
  </si>
  <si>
    <t>PALMILHA MARLUVAS Nº 42</t>
  </si>
  <si>
    <t>PALMILHA MARLUVAS Nº 43</t>
  </si>
  <si>
    <t>PALMILHA MARLUVAS Nº 44</t>
  </si>
  <si>
    <t>PALMILHA MARLUVAS Nº 45</t>
  </si>
  <si>
    <t>PALMILHA MARLUVAS Nº 46</t>
  </si>
  <si>
    <t xml:space="preserve">PROTETOR AURICULAR - TIPO CONCHA </t>
  </si>
  <si>
    <r>
      <rPr>
        <sz val="10"/>
        <color rgb="FF000000"/>
        <rFont val="Calibri"/>
        <family val="2"/>
      </rPr>
      <t xml:space="preserve">PROTETOR SOLAR FPS 60 C/ REPELENTE  </t>
    </r>
    <r>
      <rPr>
        <b/>
        <sz val="10"/>
        <color rgb="FFFF0000"/>
        <rFont val="Calibri"/>
        <family val="2"/>
      </rPr>
      <t>(Validade: XX/XX)</t>
    </r>
  </si>
  <si>
    <t xml:space="preserve">TALABARTE DE POSICIONAMENTO </t>
  </si>
  <si>
    <t>TALABARTE DE PREVENÇÃO DE QUEDAS EM  “Y” COM ABSORVEDOR DE ENERGIA</t>
  </si>
  <si>
    <t>TOUCA TIPO ARABE</t>
  </si>
  <si>
    <t>TRAVA QUEDAS PARA CABO DE AÇO</t>
  </si>
  <si>
    <t>ERGO ATUALIZADO EM:  24/03/2026</t>
  </si>
  <si>
    <t>MOUSE PAD ESPECTRO</t>
  </si>
  <si>
    <t>KEY PAD ESPECTRO</t>
  </si>
  <si>
    <t>SUPORTE PARA NOTE BOOK ESPECTRO</t>
  </si>
  <si>
    <t>APOIO ERGONÔMICO PARA OS PÉS</t>
  </si>
  <si>
    <t>Nome do Responsável Estoque - Tst ou Eng.: Willander Ramos dos Reiss</t>
  </si>
  <si>
    <t>Estoque da Cidade/Base: Barão Homem de Melo - Belo Horizonte - MG</t>
  </si>
  <si>
    <t>CAPA DE CHUVA COM CAPUZ AMARELA - M</t>
  </si>
  <si>
    <t>CAPA DE CHUVA COM CAPUZ AMARELA - G</t>
  </si>
  <si>
    <t>CAPA DE CHUVA COM CAPUZ AMARELA - EXG</t>
  </si>
  <si>
    <t>CARNEIRA + CATRACA PARA CAPACETE</t>
  </si>
  <si>
    <t>CHAVE DETECTORA DE TENSÃO</t>
  </si>
  <si>
    <t xml:space="preserve">KIT PRIMEIROS SOCORROS </t>
  </si>
  <si>
    <t>LUVA DE SEGURANÇA PU ANTICORTE - 7</t>
  </si>
  <si>
    <t>LUVA DE SEGURANÇA PU ANTICORTE - 8</t>
  </si>
  <si>
    <t>LUVA DE SEGURANÇA PU ANTICORTE - 9</t>
  </si>
  <si>
    <t>LUVA DE SEGURANÇA PU ANTICORTE - 10</t>
  </si>
  <si>
    <t>LUVA DE VAQUETA SEM DEDO</t>
  </si>
  <si>
    <t>MÁSCARA DE PANO - ROXA VIVO</t>
  </si>
  <si>
    <r>
      <t>PROTETOR SOLAR FPS 30 REPELENTE</t>
    </r>
    <r>
      <rPr>
        <b/>
        <sz val="10"/>
        <color rgb="FFFF0000"/>
        <rFont val="Calibri"/>
        <family val="2"/>
      </rPr>
      <t xml:space="preserve"> (Validade: 05/2026)</t>
    </r>
  </si>
  <si>
    <r>
      <t xml:space="preserve">PROTETOR SOLAR FPS 60 C/ REPELENTE  </t>
    </r>
    <r>
      <rPr>
        <b/>
        <sz val="10"/>
        <color rgb="FFFF0000"/>
        <rFont val="Calibri"/>
        <family val="2"/>
      </rPr>
      <t>(Validade: XX/XX)</t>
    </r>
  </si>
  <si>
    <t xml:space="preserve">TALABARTE DE PREVENÇÃO DE QUEDAS EM  “Y” </t>
  </si>
  <si>
    <t>ERGO ATUALIZADO EM:  25/08/2025</t>
  </si>
  <si>
    <t>Nome do Responsável Estoque - Tst ou Eng.: Karine Novaes Assem</t>
  </si>
  <si>
    <t>Data da atualização da Planilha: 24/04/2026</t>
  </si>
  <si>
    <t xml:space="preserve">Estoque da Cidade/Base:  Mata da Praia - Vitória – ES - Av. Adalberto Simão Nader, 531 - CEP: 29066-900 </t>
  </si>
  <si>
    <t>ÁlCOOL GEL 500ML</t>
  </si>
  <si>
    <t>M/G</t>
  </si>
  <si>
    <t>CARNEIRA + CATRACA PARA CAPACETE 3M</t>
  </si>
  <si>
    <t>CHAVE TESTE POR INDUÇÃO</t>
  </si>
  <si>
    <t>tam 1</t>
  </si>
  <si>
    <t xml:space="preserve">GARRAFA TÉRMICA </t>
  </si>
  <si>
    <t>5 Litros</t>
  </si>
  <si>
    <t>JUGULAR TECIDO PARA CAPACETE</t>
  </si>
  <si>
    <t xml:space="preserve">ÓCULOS DE SEGURANÇA - ESCURO </t>
  </si>
  <si>
    <t xml:space="preserve">ÓCULOS DE SEGURANÇA - SOBREPOR - ESCURO </t>
  </si>
  <si>
    <r>
      <rPr>
        <sz val="10"/>
        <color rgb="FF000000"/>
        <rFont val="Calibri"/>
        <family val="2"/>
        <scheme val="minor"/>
      </rPr>
      <t>PROTETOR SOLAR FPS 30 REPELENTE</t>
    </r>
    <r>
      <rPr>
        <b/>
        <sz val="10"/>
        <color rgb="FFFF0000"/>
        <rFont val="Calibri"/>
        <family val="2"/>
        <scheme val="minor"/>
      </rPr>
      <t xml:space="preserve"> (Validade: 10/2024)</t>
    </r>
  </si>
  <si>
    <r>
      <rPr>
        <sz val="10"/>
        <color rgb="FF000000"/>
        <rFont val="Calibri"/>
        <family val="2"/>
        <scheme val="minor"/>
      </rPr>
      <t xml:space="preserve">PROTETOR SOLAR FPS 60 C/ REPELENTE  </t>
    </r>
    <r>
      <rPr>
        <b/>
        <sz val="10"/>
        <color rgb="FFFF0000"/>
        <rFont val="Calibri"/>
        <family val="2"/>
        <scheme val="minor"/>
      </rPr>
      <t>(Validade: XX/XX)</t>
    </r>
  </si>
  <si>
    <t>2 m</t>
  </si>
  <si>
    <t>ERGO ATUALIZADO EM:  XX/XX/XX</t>
  </si>
  <si>
    <t>Nome do Responsável Estoque - Tst ou Eng.: Luana</t>
  </si>
  <si>
    <t>Data da atualização da Planilha: 15/06/2026</t>
  </si>
  <si>
    <t>Estoque da Cidade/Base: Brasília-DF</t>
  </si>
  <si>
    <t>LUVA DE SEGURANÇA PU ANTICORTE  P</t>
  </si>
  <si>
    <t>LUVA DE SEGURANÇA PU ANTICORTE  M</t>
  </si>
  <si>
    <t>LUVA DE SEGURANÇA PU ANTICORTE  G</t>
  </si>
  <si>
    <t>ERGO ATUALIZADO EM:  15/06/2026</t>
  </si>
  <si>
    <t>Data da atualização da Planilha:16/06/2026</t>
  </si>
  <si>
    <t>LUVA DE PVC CANO CURTO VERDE P</t>
  </si>
  <si>
    <t>LUVA DE PVC CANO CURTO VERDE M</t>
  </si>
  <si>
    <t>LUVA DE PVC CANO CURTO VERDE G</t>
  </si>
  <si>
    <t>ERGO ATUALIZADO EM:  13/06/2025</t>
  </si>
  <si>
    <t xml:space="preserve">Data da atualização da Planilha: </t>
  </si>
  <si>
    <t>Estoque da Cidade/Base: Manaus - AM</t>
  </si>
  <si>
    <t>GARRAFA TÉRMICA 3,5l</t>
  </si>
  <si>
    <t>PROTETOR SOLAR FPS 30 C/ REPELENTE  (validade: ??)</t>
  </si>
  <si>
    <t>ERGO ATUALIZADO EM: 05/9/2025</t>
  </si>
  <si>
    <t>Data da atualização da Planilha:15/06/2026</t>
  </si>
  <si>
    <t>Estoque da Cidade/Base: São Luis-MA</t>
  </si>
  <si>
    <t>Nome do Responsável Estoque - Tst ou Eng.: Camila Martins Silva</t>
  </si>
  <si>
    <t>Data da atualização da Planilha: 05/09/2025</t>
  </si>
  <si>
    <t>Estoque da Cidade/Base: GO</t>
  </si>
  <si>
    <t>Data da atualização da Planilha: 28/08/2025</t>
  </si>
  <si>
    <t>Estoque da Cidade/Base: VIVO CUIABÁ</t>
  </si>
  <si>
    <t>GARRAFA TÉRMICA  3,5l</t>
  </si>
  <si>
    <t>ÓCULOS DE SEGURANÇA - ESCURO SOBREPOR</t>
  </si>
  <si>
    <t>ÓCULOS DE SEGURANÇA - INCOLOR SOBREPOR</t>
  </si>
  <si>
    <r>
      <t xml:space="preserve">PROTETOR SOLAR FPS 30 C/ REPELENTE </t>
    </r>
    <r>
      <rPr>
        <b/>
        <sz val="10"/>
        <color rgb="FFFF0000"/>
        <rFont val="Calibri"/>
        <family val="2"/>
      </rPr>
      <t xml:space="preserve"> (Validade: XX/XX)</t>
    </r>
  </si>
  <si>
    <t>TALABARTE DE POSICIONAMENTO COM REGULAGEM</t>
  </si>
  <si>
    <t xml:space="preserve">2 METROS </t>
  </si>
  <si>
    <t>TALABARTE DE PREVENÇÃO DE QUEDAS "Y"</t>
  </si>
  <si>
    <t>ERGO ATUALIZADO EM:  28/08/2025</t>
  </si>
  <si>
    <t xml:space="preserve">R$ -   </t>
  </si>
  <si>
    <t>Estoque da Cidade/Base: Campo Grande MS</t>
  </si>
  <si>
    <t>PROTETOR SOLAR FPS 30 C/ REPELENTE -
 1- nutriex (venc. 06/2026)
2- nutriex (venc. 10/2024)
3- sunlau (12/2022)</t>
  </si>
  <si>
    <t>ABAFADOR DE OUVIDOS</t>
  </si>
  <si>
    <t>BOLSA EM LONA BOCA ABERTA VIVO NEW</t>
  </si>
  <si>
    <t>CARNEIRA</t>
  </si>
  <si>
    <t>JUGULAR</t>
  </si>
  <si>
    <t>LUVA PU "EXG"</t>
  </si>
  <si>
    <t>LUVA PU "XG"</t>
  </si>
  <si>
    <t>LUVA PU "GG"</t>
  </si>
  <si>
    <t>LUVA PU "G"</t>
  </si>
  <si>
    <t>LUVA PU "M"</t>
  </si>
  <si>
    <t>LUVA PU "P"</t>
  </si>
  <si>
    <t>ÓCULOS DE SOBREPOR ESCURO</t>
  </si>
  <si>
    <t>ÓCULOS DE SOBREPOR INCOLOR</t>
  </si>
  <si>
    <t>PERNEIRA (PAR)</t>
  </si>
  <si>
    <r>
      <rPr>
        <b/>
        <sz val="11"/>
        <color rgb="FF000000"/>
        <rFont val="Calibri"/>
        <family val="2"/>
        <scheme val="minor"/>
      </rPr>
      <t xml:space="preserve">ERGO ATUALIZADO EM: </t>
    </r>
    <r>
      <rPr>
        <b/>
        <sz val="11"/>
        <color rgb="FFFF0000"/>
        <rFont val="Calibri"/>
        <family val="2"/>
        <scheme val="minor"/>
      </rPr>
      <t>05/09/2025</t>
    </r>
  </si>
  <si>
    <t>Nome do Responsável Estoque - Tst ou Eng.: Marcus Pitanga</t>
  </si>
  <si>
    <t>Data da atualização da Planilha: 29.08.2025</t>
  </si>
  <si>
    <t>Estoque da Cidade/Base: Salvador/BA</t>
  </si>
  <si>
    <t>Gostaria de umas de estoque</t>
  </si>
  <si>
    <t>Gostaria de estoque</t>
  </si>
  <si>
    <t>UNI</t>
  </si>
  <si>
    <t>PROTETOR SOLAR FPS 30 C/ REPELENTE  (validade: Dezembro/24)</t>
  </si>
  <si>
    <r>
      <rPr>
        <b/>
        <sz val="11"/>
        <color rgb="FF000000"/>
        <rFont val="Calibri"/>
        <family val="2"/>
        <scheme val="minor"/>
      </rPr>
      <t xml:space="preserve">ERGO ATUALIZADO EM: </t>
    </r>
    <r>
      <rPr>
        <b/>
        <sz val="11"/>
        <color rgb="FFFF0000"/>
        <rFont val="Calibri"/>
        <family val="2"/>
        <scheme val="minor"/>
      </rPr>
      <t xml:space="preserve"> 29</t>
    </r>
    <r>
      <rPr>
        <b/>
        <sz val="11"/>
        <color rgb="FF000000"/>
        <rFont val="Calibri"/>
        <family val="2"/>
        <scheme val="minor"/>
      </rPr>
      <t>/08/2025</t>
    </r>
  </si>
  <si>
    <t>Nome do Responsável Estoque - Tst ou Eng.: Raphael Meneses</t>
  </si>
  <si>
    <t>Data da atualização da Planilha: 22/09/2023</t>
  </si>
  <si>
    <t>Estoque da Cidade/Base: Fortaleza</t>
  </si>
  <si>
    <t xml:space="preserve">PROTETOR SOLAR FPS 30 C/ REPELENTE  (validade: abril/ 24) </t>
  </si>
  <si>
    <r>
      <rPr>
        <b/>
        <sz val="11"/>
        <color rgb="FF000000"/>
        <rFont val="Calibri"/>
        <family val="2"/>
        <scheme val="minor"/>
      </rPr>
      <t xml:space="preserve">ERGO ATUALIZADO EM: </t>
    </r>
    <r>
      <rPr>
        <b/>
        <sz val="11"/>
        <color rgb="FFFF0000"/>
        <rFont val="Calibri"/>
        <family val="2"/>
        <scheme val="minor"/>
      </rPr>
      <t xml:space="preserve"> 13</t>
    </r>
    <r>
      <rPr>
        <b/>
        <sz val="11"/>
        <color rgb="FF000000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09</t>
    </r>
    <r>
      <rPr>
        <b/>
        <sz val="11"/>
        <color rgb="FF000000"/>
        <rFont val="Calibri"/>
        <family val="2"/>
        <scheme val="minor"/>
      </rPr>
      <t>/2023</t>
    </r>
  </si>
  <si>
    <t>Nome do Responsável Estoque - Tst ou Eng.: Ítalo Lima</t>
  </si>
  <si>
    <t>Estoque da Cidade/Base: Recife</t>
  </si>
  <si>
    <t xml:space="preserve">V.DO ITEM </t>
  </si>
  <si>
    <t>vALOR TOTAL</t>
  </si>
  <si>
    <t xml:space="preserve">PROTETOR SOLAR FPS 30 C/ REPELENTE - validade: </t>
  </si>
  <si>
    <r>
      <rPr>
        <b/>
        <sz val="11"/>
        <color rgb="FF000000"/>
        <rFont val="Calibri"/>
        <family val="2"/>
        <scheme val="minor"/>
      </rPr>
      <t xml:space="preserve">ERGO ATUALIZADO EM: </t>
    </r>
    <r>
      <rPr>
        <b/>
        <sz val="11"/>
        <color rgb="FFFF0000"/>
        <rFont val="Calibri"/>
        <family val="2"/>
        <scheme val="minor"/>
      </rPr>
      <t xml:space="preserve"> 28/</t>
    </r>
    <r>
      <rPr>
        <b/>
        <sz val="11"/>
        <color rgb="FF000000"/>
        <rFont val="Calibri"/>
        <family val="2"/>
        <scheme val="minor"/>
      </rPr>
      <t>08/2025</t>
    </r>
  </si>
  <si>
    <t xml:space="preserve">Data da atualização da Planilha: 21/08/2026 </t>
  </si>
  <si>
    <t>LUVA DE VAQUETA CANO CURTO  9</t>
  </si>
  <si>
    <t>LUVA DE VAQUETA CANO CURTO 10</t>
  </si>
  <si>
    <t>LUVA DE VAQUETA CANO CURTO 11</t>
  </si>
  <si>
    <t>PALMILHA REMOVÍVEL PU MARLUVAS</t>
  </si>
  <si>
    <t>TOUCA TIPO ARABE EM BRIM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</si>
</sst>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4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color rgb="FFFFFFFF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  <charset val="1"/>
      <scheme val="minor"/>
    </font>
    <font>
      <b/>
      <sz val="12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0"/>
      <color rgb="FF000000"/>
      <name val="Calibri"/>
    </font>
    <font>
      <sz val="11"/>
      <color rgb="FFFFFFFF"/>
      <name val="Calibri"/>
      <scheme val="minor"/>
    </font>
    <font>
      <sz val="11"/>
      <color rgb="FFFFFF00"/>
      <name val="Calibri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</font>
    <font>
      <sz val="10"/>
      <name val="Calibri"/>
    </font>
    <font>
      <b/>
      <sz val="10"/>
      <color rgb="FFFF0000"/>
      <name val="Calibri"/>
    </font>
    <font>
      <sz val="10"/>
      <color rgb="FFFF0000"/>
      <name val="Calibri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FF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charset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CFF99"/>
        <bgColor rgb="FF000000"/>
      </patternFill>
    </fill>
    <fill>
      <patternFill patternType="solid">
        <fgColor rgb="FF40404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D9E1F2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1B55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rgb="FF000000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25">
    <xf numFmtId="0" fontId="0" fillId="0" borderId="0" xfId="0"/>
    <xf numFmtId="0" fontId="0" fillId="0" borderId="0" xfId="0" applyAlignment="1">
      <alignment horizontal="center"/>
    </xf>
    <xf numFmtId="14" fontId="1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 wrapText="1"/>
    </xf>
    <xf numFmtId="14" fontId="1" fillId="4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Border="1"/>
    <xf numFmtId="14" fontId="1" fillId="4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6" xfId="0" applyFont="1" applyBorder="1"/>
    <xf numFmtId="0" fontId="7" fillId="0" borderId="16" xfId="0" applyFont="1" applyBorder="1"/>
    <xf numFmtId="0" fontId="7" fillId="0" borderId="15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2" fillId="9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14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2" fillId="9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2" fillId="16" borderId="1" xfId="1" applyNumberFormat="1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/>
    </xf>
    <xf numFmtId="0" fontId="2" fillId="16" borderId="6" xfId="0" applyFont="1" applyFill="1" applyBorder="1"/>
    <xf numFmtId="0" fontId="0" fillId="16" borderId="12" xfId="0" applyFill="1" applyBorder="1" applyAlignment="1">
      <alignment horizontal="center"/>
    </xf>
    <xf numFmtId="0" fontId="2" fillId="16" borderId="7" xfId="1" applyNumberFormat="1" applyFont="1" applyFill="1" applyBorder="1" applyAlignment="1">
      <alignment horizontal="left" vertical="center" wrapText="1"/>
    </xf>
    <xf numFmtId="0" fontId="2" fillId="16" borderId="7" xfId="0" applyFont="1" applyFill="1" applyBorder="1" applyAlignment="1">
      <alignment horizontal="center"/>
    </xf>
    <xf numFmtId="0" fontId="2" fillId="16" borderId="8" xfId="0" applyFont="1" applyFill="1" applyBorder="1"/>
    <xf numFmtId="0" fontId="0" fillId="16" borderId="20" xfId="0" applyFill="1" applyBorder="1" applyAlignment="1">
      <alignment horizontal="center"/>
    </xf>
    <xf numFmtId="0" fontId="2" fillId="16" borderId="20" xfId="1" applyNumberFormat="1" applyFont="1" applyFill="1" applyBorder="1" applyAlignment="1">
      <alignment horizontal="left" vertical="center" wrapText="1"/>
    </xf>
    <xf numFmtId="0" fontId="0" fillId="16" borderId="20" xfId="0" applyFill="1" applyBorder="1"/>
    <xf numFmtId="0" fontId="2" fillId="16" borderId="1" xfId="0" applyFont="1" applyFill="1" applyBorder="1"/>
    <xf numFmtId="0" fontId="2" fillId="16" borderId="7" xfId="0" applyFont="1" applyFill="1" applyBorder="1"/>
    <xf numFmtId="0" fontId="7" fillId="16" borderId="15" xfId="0" applyFont="1" applyFill="1" applyBorder="1" applyAlignment="1">
      <alignment horizontal="center"/>
    </xf>
    <xf numFmtId="0" fontId="7" fillId="16" borderId="17" xfId="0" applyFont="1" applyFill="1" applyBorder="1" applyAlignment="1">
      <alignment horizontal="center"/>
    </xf>
    <xf numFmtId="14" fontId="1" fillId="4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15" fillId="9" borderId="0" xfId="0" applyFont="1" applyFill="1" applyAlignment="1">
      <alignment horizontal="left"/>
    </xf>
    <xf numFmtId="0" fontId="2" fillId="2" borderId="1" xfId="0" applyFont="1" applyFill="1" applyBorder="1" applyAlignment="1">
      <alignment vertical="center"/>
    </xf>
    <xf numFmtId="0" fontId="18" fillId="16" borderId="6" xfId="0" applyFont="1" applyFill="1" applyBorder="1"/>
    <xf numFmtId="0" fontId="18" fillId="16" borderId="8" xfId="0" applyFont="1" applyFill="1" applyBorder="1"/>
    <xf numFmtId="0" fontId="19" fillId="16" borderId="20" xfId="0" applyFont="1" applyFill="1" applyBorder="1"/>
    <xf numFmtId="14" fontId="12" fillId="12" borderId="1" xfId="0" applyNumberFormat="1" applyFont="1" applyFill="1" applyBorder="1" applyAlignment="1" applyProtection="1">
      <alignment horizontal="center" vertical="center"/>
      <protection locked="0"/>
    </xf>
    <xf numFmtId="14" fontId="1" fillId="4" borderId="10" xfId="0" applyNumberFormat="1" applyFont="1" applyFill="1" applyBorder="1" applyAlignment="1" applyProtection="1">
      <alignment horizontal="center" vertical="center" wrapText="1"/>
      <protection locked="0"/>
    </xf>
    <xf numFmtId="14" fontId="1" fillId="4" borderId="13" xfId="0" applyNumberFormat="1" applyFont="1" applyFill="1" applyBorder="1" applyAlignment="1" applyProtection="1">
      <alignment horizontal="center" vertical="center"/>
      <protection locked="0"/>
    </xf>
    <xf numFmtId="0" fontId="2" fillId="16" borderId="13" xfId="0" applyFont="1" applyFill="1" applyBorder="1" applyAlignment="1">
      <alignment horizontal="center"/>
    </xf>
    <xf numFmtId="0" fontId="2" fillId="16" borderId="30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0" fontId="2" fillId="16" borderId="0" xfId="0" applyFont="1" applyFill="1" applyAlignment="1">
      <alignment horizontal="center"/>
    </xf>
    <xf numFmtId="0" fontId="7" fillId="16" borderId="18" xfId="0" applyFont="1" applyFill="1" applyBorder="1" applyAlignment="1">
      <alignment horizontal="center"/>
    </xf>
    <xf numFmtId="0" fontId="7" fillId="16" borderId="33" xfId="0" applyFont="1" applyFill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2" fillId="2" borderId="13" xfId="0" applyNumberFormat="1" applyFont="1" applyFill="1" applyBorder="1" applyAlignment="1">
      <alignment horizontal="center"/>
    </xf>
    <xf numFmtId="8" fontId="6" fillId="0" borderId="20" xfId="0" applyNumberFormat="1" applyFont="1" applyBorder="1" applyAlignment="1">
      <alignment wrapText="1"/>
    </xf>
    <xf numFmtId="164" fontId="6" fillId="0" borderId="20" xfId="0" applyNumberFormat="1" applyFont="1" applyBorder="1" applyAlignment="1">
      <alignment wrapText="1"/>
    </xf>
    <xf numFmtId="164" fontId="6" fillId="0" borderId="21" xfId="0" applyNumberFormat="1" applyFont="1" applyBorder="1" applyAlignment="1">
      <alignment wrapText="1"/>
    </xf>
    <xf numFmtId="0" fontId="7" fillId="0" borderId="1" xfId="0" applyFont="1" applyBorder="1"/>
    <xf numFmtId="14" fontId="1" fillId="4" borderId="13" xfId="0" applyNumberFormat="1" applyFont="1" applyFill="1" applyBorder="1" applyAlignment="1" applyProtection="1">
      <alignment horizontal="center" vertical="center" wrapText="1"/>
      <protection locked="0"/>
    </xf>
    <xf numFmtId="14" fontId="1" fillId="4" borderId="30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left" wrapText="1"/>
    </xf>
    <xf numFmtId="164" fontId="2" fillId="19" borderId="1" xfId="1" applyNumberFormat="1" applyFont="1" applyFill="1" applyBorder="1" applyAlignment="1">
      <alignment horizontal="left" vertical="center" wrapText="1"/>
    </xf>
    <xf numFmtId="164" fontId="3" fillId="19" borderId="1" xfId="0" applyNumberFormat="1" applyFont="1" applyFill="1" applyBorder="1" applyAlignment="1">
      <alignment horizontal="left" vertical="center"/>
    </xf>
    <xf numFmtId="164" fontId="2" fillId="19" borderId="1" xfId="0" applyNumberFormat="1" applyFont="1" applyFill="1" applyBorder="1" applyAlignment="1">
      <alignment horizontal="left" vertical="center"/>
    </xf>
    <xf numFmtId="164" fontId="2" fillId="19" borderId="1" xfId="0" applyNumberFormat="1" applyFont="1" applyFill="1" applyBorder="1" applyAlignment="1">
      <alignment horizontal="center" vertical="center"/>
    </xf>
    <xf numFmtId="164" fontId="8" fillId="20" borderId="15" xfId="0" applyNumberFormat="1" applyFont="1" applyFill="1" applyBorder="1" applyAlignment="1">
      <alignment horizontal="center" vertical="center"/>
    </xf>
    <xf numFmtId="164" fontId="2" fillId="20" borderId="1" xfId="1" applyNumberFormat="1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wrapText="1"/>
    </xf>
    <xf numFmtId="0" fontId="0" fillId="20" borderId="15" xfId="0" applyFill="1" applyBorder="1" applyAlignment="1">
      <alignment horizontal="center" vertical="center"/>
    </xf>
    <xf numFmtId="0" fontId="6" fillId="20" borderId="15" xfId="0" applyFont="1" applyFill="1" applyBorder="1"/>
    <xf numFmtId="0" fontId="0" fillId="20" borderId="15" xfId="0" applyFill="1" applyBorder="1"/>
    <xf numFmtId="0" fontId="2" fillId="0" borderId="15" xfId="0" applyFont="1" applyBorder="1"/>
    <xf numFmtId="0" fontId="7" fillId="20" borderId="13" xfId="0" applyFont="1" applyFill="1" applyBorder="1" applyAlignment="1">
      <alignment wrapText="1"/>
    </xf>
    <xf numFmtId="0" fontId="0" fillId="0" borderId="23" xfId="0" applyBorder="1" applyAlignment="1">
      <alignment horizontal="center"/>
    </xf>
    <xf numFmtId="0" fontId="2" fillId="0" borderId="15" xfId="1" applyNumberFormat="1" applyFont="1" applyFill="1" applyBorder="1" applyAlignment="1">
      <alignment horizontal="left" vertical="center" wrapText="1"/>
    </xf>
    <xf numFmtId="0" fontId="2" fillId="0" borderId="18" xfId="0" applyFont="1" applyBorder="1"/>
    <xf numFmtId="164" fontId="0" fillId="0" borderId="0" xfId="0" applyNumberFormat="1"/>
    <xf numFmtId="8" fontId="2" fillId="0" borderId="1" xfId="1" applyNumberFormat="1" applyFont="1" applyFill="1" applyBorder="1" applyAlignment="1">
      <alignment horizontal="left" vertical="center" wrapText="1"/>
    </xf>
    <xf numFmtId="164" fontId="2" fillId="0" borderId="18" xfId="0" applyNumberFormat="1" applyFont="1" applyBorder="1" applyAlignment="1">
      <alignment horizontal="center"/>
    </xf>
    <xf numFmtId="0" fontId="7" fillId="20" borderId="18" xfId="0" applyFont="1" applyFill="1" applyBorder="1" applyAlignment="1">
      <alignment wrapText="1"/>
    </xf>
    <xf numFmtId="0" fontId="14" fillId="20" borderId="15" xfId="0" applyFont="1" applyFill="1" applyBorder="1"/>
    <xf numFmtId="0" fontId="13" fillId="20" borderId="15" xfId="0" applyFont="1" applyFill="1" applyBorder="1" applyAlignment="1">
      <alignment horizontal="center" vertical="center"/>
    </xf>
    <xf numFmtId="0" fontId="14" fillId="20" borderId="15" xfId="0" applyFont="1" applyFill="1" applyBorder="1" applyAlignment="1">
      <alignment horizontal="center" vertical="center"/>
    </xf>
    <xf numFmtId="0" fontId="7" fillId="0" borderId="18" xfId="0" applyFont="1" applyBorder="1"/>
    <xf numFmtId="4" fontId="0" fillId="0" borderId="0" xfId="0" applyNumberFormat="1"/>
    <xf numFmtId="0" fontId="2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20" borderId="1" xfId="1" applyNumberFormat="1" applyFont="1" applyFill="1" applyBorder="1" applyAlignment="1">
      <alignment horizontal="left" vertical="center" wrapText="1"/>
    </xf>
    <xf numFmtId="164" fontId="3" fillId="19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20" borderId="15" xfId="0" applyFont="1" applyFill="1" applyBorder="1" applyAlignment="1">
      <alignment vertical="center"/>
    </xf>
    <xf numFmtId="164" fontId="7" fillId="19" borderId="20" xfId="0" applyNumberFormat="1" applyFont="1" applyFill="1" applyBorder="1" applyAlignment="1">
      <alignment vertical="center" wrapText="1"/>
    </xf>
    <xf numFmtId="164" fontId="7" fillId="19" borderId="20" xfId="0" applyNumberFormat="1" applyFont="1" applyFill="1" applyBorder="1" applyAlignment="1">
      <alignment wrapText="1"/>
    </xf>
    <xf numFmtId="164" fontId="8" fillId="20" borderId="1" xfId="0" applyNumberFormat="1" applyFont="1" applyFill="1" applyBorder="1" applyAlignment="1">
      <alignment horizontal="center" vertical="center"/>
    </xf>
    <xf numFmtId="0" fontId="22" fillId="0" borderId="1" xfId="1" applyNumberFormat="1" applyFont="1" applyFill="1" applyBorder="1" applyAlignment="1">
      <alignment horizontal="left" vertical="center" wrapText="1"/>
    </xf>
    <xf numFmtId="14" fontId="12" fillId="22" borderId="1" xfId="0" applyNumberFormat="1" applyFont="1" applyFill="1" applyBorder="1" applyAlignment="1" applyProtection="1">
      <alignment horizontal="center" vertical="center"/>
      <protection locked="0"/>
    </xf>
    <xf numFmtId="0" fontId="7" fillId="20" borderId="15" xfId="0" applyFont="1" applyFill="1" applyBorder="1" applyAlignment="1">
      <alignment horizontal="center"/>
    </xf>
    <xf numFmtId="14" fontId="12" fillId="25" borderId="1" xfId="0" applyNumberFormat="1" applyFont="1" applyFill="1" applyBorder="1" applyAlignment="1" applyProtection="1">
      <alignment horizontal="center" vertical="center"/>
      <protection locked="0"/>
    </xf>
    <xf numFmtId="164" fontId="8" fillId="26" borderId="1" xfId="0" applyNumberFormat="1" applyFont="1" applyFill="1" applyBorder="1" applyAlignment="1">
      <alignment horizontal="center" vertical="top"/>
    </xf>
    <xf numFmtId="14" fontId="12" fillId="2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0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/>
    </xf>
    <xf numFmtId="164" fontId="7" fillId="19" borderId="1" xfId="0" applyNumberFormat="1" applyFont="1" applyFill="1" applyBorder="1" applyAlignment="1">
      <alignment wrapText="1"/>
    </xf>
    <xf numFmtId="164" fontId="7" fillId="19" borderId="0" xfId="0" applyNumberFormat="1" applyFont="1" applyFill="1" applyAlignment="1">
      <alignment wrapText="1"/>
    </xf>
    <xf numFmtId="14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14" fontId="1" fillId="6" borderId="1" xfId="0" applyNumberFormat="1" applyFont="1" applyFill="1" applyBorder="1" applyAlignment="1" applyProtection="1">
      <alignment horizontal="center" vertical="center"/>
      <protection locked="0"/>
    </xf>
    <xf numFmtId="14" fontId="9" fillId="2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64" fontId="6" fillId="19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7" fillId="2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vertical="center" wrapText="1"/>
    </xf>
    <xf numFmtId="0" fontId="7" fillId="20" borderId="1" xfId="0" applyFont="1" applyFill="1" applyBorder="1" applyAlignment="1">
      <alignment horizontal="center" vertical="center"/>
    </xf>
    <xf numFmtId="164" fontId="24" fillId="20" borderId="1" xfId="0" applyNumberFormat="1" applyFont="1" applyFill="1" applyBorder="1" applyAlignment="1">
      <alignment vertical="center" wrapText="1"/>
    </xf>
    <xf numFmtId="0" fontId="6" fillId="20" borderId="1" xfId="0" applyFont="1" applyFill="1" applyBorder="1"/>
    <xf numFmtId="0" fontId="6" fillId="20" borderId="1" xfId="0" applyFont="1" applyFill="1" applyBorder="1" applyAlignment="1">
      <alignment horizontal="center"/>
    </xf>
    <xf numFmtId="0" fontId="0" fillId="20" borderId="1" xfId="0" applyFill="1" applyBorder="1"/>
    <xf numFmtId="0" fontId="6" fillId="20" borderId="15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20" borderId="18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4" fontId="24" fillId="20" borderId="22" xfId="0" applyNumberFormat="1" applyFont="1" applyFill="1" applyBorder="1" applyAlignment="1">
      <alignment vertical="center" wrapText="1"/>
    </xf>
    <xf numFmtId="164" fontId="24" fillId="20" borderId="1" xfId="0" applyNumberFormat="1" applyFont="1" applyFill="1" applyBorder="1" applyAlignment="1">
      <alignment wrapText="1"/>
    </xf>
    <xf numFmtId="0" fontId="14" fillId="0" borderId="0" xfId="0" applyFont="1" applyAlignment="1">
      <alignment horizontal="center" vertical="center"/>
    </xf>
    <xf numFmtId="0" fontId="7" fillId="0" borderId="31" xfId="0" applyFont="1" applyBorder="1" applyAlignment="1">
      <alignment wrapText="1"/>
    </xf>
    <xf numFmtId="0" fontId="14" fillId="0" borderId="31" xfId="0" applyFont="1" applyBorder="1"/>
    <xf numFmtId="0" fontId="13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" fillId="0" borderId="31" xfId="0" applyFont="1" applyBorder="1"/>
    <xf numFmtId="0" fontId="0" fillId="0" borderId="23" xfId="0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wrapText="1"/>
    </xf>
    <xf numFmtId="0" fontId="14" fillId="0" borderId="13" xfId="0" applyFont="1" applyBorder="1" applyAlignment="1">
      <alignment horizontal="center" vertical="center"/>
    </xf>
    <xf numFmtId="164" fontId="8" fillId="20" borderId="15" xfId="0" applyNumberFormat="1" applyFont="1" applyFill="1" applyBorder="1" applyAlignment="1">
      <alignment vertical="center"/>
    </xf>
    <xf numFmtId="164" fontId="7" fillId="19" borderId="1" xfId="0" applyNumberFormat="1" applyFont="1" applyFill="1" applyBorder="1" applyAlignment="1">
      <alignment vertical="center" wrapText="1"/>
    </xf>
    <xf numFmtId="164" fontId="11" fillId="19" borderId="1" xfId="0" applyNumberFormat="1" applyFont="1" applyFill="1" applyBorder="1" applyAlignment="1">
      <alignment vertical="center"/>
    </xf>
    <xf numFmtId="164" fontId="7" fillId="19" borderId="1" xfId="0" applyNumberFormat="1" applyFont="1" applyFill="1" applyBorder="1" applyAlignment="1">
      <alignment vertical="center"/>
    </xf>
    <xf numFmtId="164" fontId="0" fillId="19" borderId="1" xfId="0" applyNumberFormat="1" applyFill="1" applyBorder="1" applyAlignment="1">
      <alignment horizontal="right" vertical="center"/>
    </xf>
    <xf numFmtId="164" fontId="2" fillId="19" borderId="1" xfId="0" applyNumberFormat="1" applyFont="1" applyFill="1" applyBorder="1" applyAlignment="1">
      <alignment vertical="center"/>
    </xf>
    <xf numFmtId="164" fontId="2" fillId="19" borderId="1" xfId="0" applyNumberFormat="1" applyFont="1" applyFill="1" applyBorder="1" applyAlignment="1">
      <alignment horizontal="center"/>
    </xf>
    <xf numFmtId="164" fontId="11" fillId="19" borderId="1" xfId="0" applyNumberFormat="1" applyFont="1" applyFill="1" applyBorder="1" applyAlignment="1">
      <alignment wrapText="1"/>
    </xf>
    <xf numFmtId="164" fontId="2" fillId="19" borderId="1" xfId="0" applyNumberFormat="1" applyFont="1" applyFill="1" applyBorder="1" applyAlignment="1">
      <alignment horizontal="center" vertical="top"/>
    </xf>
    <xf numFmtId="164" fontId="7" fillId="19" borderId="1" xfId="0" applyNumberFormat="1" applyFont="1" applyFill="1" applyBorder="1" applyAlignment="1">
      <alignment horizontal="center"/>
    </xf>
    <xf numFmtId="164" fontId="6" fillId="19" borderId="1" xfId="0" applyNumberFormat="1" applyFont="1" applyFill="1" applyBorder="1" applyAlignment="1">
      <alignment horizontal="center" vertical="center"/>
    </xf>
    <xf numFmtId="164" fontId="7" fillId="19" borderId="1" xfId="0" applyNumberFormat="1" applyFont="1" applyFill="1" applyBorder="1"/>
    <xf numFmtId="0" fontId="7" fillId="19" borderId="1" xfId="0" applyFont="1" applyFill="1" applyBorder="1"/>
    <xf numFmtId="164" fontId="2" fillId="19" borderId="1" xfId="0" applyNumberFormat="1" applyFont="1" applyFill="1" applyBorder="1"/>
    <xf numFmtId="164" fontId="14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3" fillId="19" borderId="13" xfId="0" applyNumberFormat="1" applyFont="1" applyFill="1" applyBorder="1" applyAlignment="1">
      <alignment horizontal="center" vertical="center"/>
    </xf>
    <xf numFmtId="164" fontId="7" fillId="19" borderId="13" xfId="0" applyNumberFormat="1" applyFont="1" applyFill="1" applyBorder="1" applyAlignment="1">
      <alignment vertical="center" wrapText="1"/>
    </xf>
    <xf numFmtId="164" fontId="2" fillId="19" borderId="18" xfId="0" applyNumberFormat="1" applyFont="1" applyFill="1" applyBorder="1" applyAlignment="1">
      <alignment horizontal="center" vertical="center"/>
    </xf>
    <xf numFmtId="164" fontId="2" fillId="19" borderId="20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4" fontId="2" fillId="19" borderId="14" xfId="0" applyNumberFormat="1" applyFont="1" applyFill="1" applyBorder="1" applyAlignment="1">
      <alignment horizontal="center" vertical="center"/>
    </xf>
    <xf numFmtId="164" fontId="2" fillId="19" borderId="14" xfId="0" applyNumberFormat="1" applyFont="1" applyFill="1" applyBorder="1" applyAlignment="1">
      <alignment vertical="center"/>
    </xf>
    <xf numFmtId="164" fontId="2" fillId="19" borderId="20" xfId="0" applyNumberFormat="1" applyFont="1" applyFill="1" applyBorder="1" applyAlignment="1">
      <alignment vertical="center"/>
    </xf>
    <xf numFmtId="0" fontId="7" fillId="20" borderId="18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7" fillId="19" borderId="13" xfId="0" applyFont="1" applyFill="1" applyBorder="1" applyAlignment="1">
      <alignment vertical="center"/>
    </xf>
    <xf numFmtId="0" fontId="13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13" fillId="0" borderId="28" xfId="0" applyFont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7" fillId="19" borderId="0" xfId="0" applyFont="1" applyFill="1" applyAlignment="1">
      <alignment vertical="center"/>
    </xf>
    <xf numFmtId="0" fontId="7" fillId="0" borderId="18" xfId="0" applyFont="1" applyBorder="1" applyAlignment="1">
      <alignment horizontal="left" vertical="center" wrapText="1"/>
    </xf>
    <xf numFmtId="0" fontId="13" fillId="2" borderId="27" xfId="0" applyFont="1" applyFill="1" applyBorder="1" applyAlignment="1">
      <alignment horizontal="center" vertical="center"/>
    </xf>
    <xf numFmtId="0" fontId="7" fillId="19" borderId="21" xfId="0" applyFont="1" applyFill="1" applyBorder="1" applyAlignment="1">
      <alignment vertical="center"/>
    </xf>
    <xf numFmtId="164" fontId="7" fillId="19" borderId="18" xfId="0" applyNumberFormat="1" applyFont="1" applyFill="1" applyBorder="1" applyAlignment="1">
      <alignment vertical="center" wrapText="1"/>
    </xf>
    <xf numFmtId="0" fontId="13" fillId="2" borderId="29" xfId="0" applyFont="1" applyFill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164" fontId="11" fillId="19" borderId="13" xfId="0" applyNumberFormat="1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18" borderId="13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25" fillId="2" borderId="13" xfId="0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3" fillId="20" borderId="15" xfId="0" applyFont="1" applyFill="1" applyBorder="1" applyAlignment="1">
      <alignment vertical="center"/>
    </xf>
    <xf numFmtId="0" fontId="13" fillId="0" borderId="19" xfId="0" applyFont="1" applyBorder="1" applyAlignment="1">
      <alignment vertical="center"/>
    </xf>
    <xf numFmtId="4" fontId="2" fillId="0" borderId="0" xfId="0" applyNumberFormat="1" applyFont="1"/>
    <xf numFmtId="164" fontId="2" fillId="19" borderId="38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14" fillId="0" borderId="18" xfId="0" applyFont="1" applyBorder="1"/>
    <xf numFmtId="0" fontId="7" fillId="2" borderId="18" xfId="0" applyFont="1" applyFill="1" applyBorder="1" applyAlignment="1">
      <alignment vertical="center"/>
    </xf>
    <xf numFmtId="0" fontId="7" fillId="15" borderId="1" xfId="0" applyFont="1" applyFill="1" applyBorder="1" applyAlignment="1">
      <alignment horizontal="center"/>
    </xf>
    <xf numFmtId="164" fontId="3" fillId="2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/>
    </xf>
    <xf numFmtId="0" fontId="7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8" borderId="1" xfId="0" applyFont="1" applyFill="1" applyBorder="1" applyAlignment="1">
      <alignment horizontal="center"/>
    </xf>
    <xf numFmtId="0" fontId="7" fillId="28" borderId="15" xfId="0" applyFont="1" applyFill="1" applyBorder="1" applyAlignment="1">
      <alignment horizontal="center"/>
    </xf>
    <xf numFmtId="14" fontId="12" fillId="29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14" fontId="1" fillId="6" borderId="10" xfId="0" applyNumberFormat="1" applyFont="1" applyFill="1" applyBorder="1" applyAlignment="1" applyProtection="1">
      <alignment horizontal="center" vertical="center" wrapText="1"/>
      <protection locked="0"/>
    </xf>
    <xf numFmtId="164" fontId="2" fillId="19" borderId="10" xfId="0" applyNumberFormat="1" applyFont="1" applyFill="1" applyBorder="1" applyAlignment="1">
      <alignment horizontal="center"/>
    </xf>
    <xf numFmtId="164" fontId="3" fillId="19" borderId="10" xfId="0" applyNumberFormat="1" applyFont="1" applyFill="1" applyBorder="1" applyAlignment="1">
      <alignment horizontal="center"/>
    </xf>
    <xf numFmtId="164" fontId="7" fillId="19" borderId="10" xfId="0" applyNumberFormat="1" applyFont="1" applyFill="1" applyBorder="1" applyAlignment="1">
      <alignment wrapText="1"/>
    </xf>
    <xf numFmtId="164" fontId="11" fillId="19" borderId="10" xfId="0" applyNumberFormat="1" applyFont="1" applyFill="1" applyBorder="1" applyAlignment="1">
      <alignment wrapText="1"/>
    </xf>
    <xf numFmtId="164" fontId="6" fillId="19" borderId="10" xfId="0" applyNumberFormat="1" applyFont="1" applyFill="1" applyBorder="1" applyAlignment="1">
      <alignment wrapText="1"/>
    </xf>
    <xf numFmtId="0" fontId="7" fillId="10" borderId="15" xfId="0" applyFont="1" applyFill="1" applyBorder="1" applyAlignment="1">
      <alignment horizontal="center"/>
    </xf>
    <xf numFmtId="0" fontId="11" fillId="0" borderId="1" xfId="0" applyFont="1" applyBorder="1"/>
    <xf numFmtId="14" fontId="1" fillId="4" borderId="32" xfId="0" applyNumberFormat="1" applyFont="1" applyFill="1" applyBorder="1" applyAlignment="1" applyProtection="1">
      <alignment horizontal="center" vertical="center" wrapText="1"/>
      <protection locked="0"/>
    </xf>
    <xf numFmtId="14" fontId="1" fillId="4" borderId="14" xfId="0" applyNumberFormat="1" applyFont="1" applyFill="1" applyBorder="1" applyAlignment="1" applyProtection="1">
      <alignment horizontal="center" vertical="center"/>
      <protection locked="0"/>
    </xf>
    <xf numFmtId="14" fontId="1" fillId="4" borderId="40" xfId="0" applyNumberFormat="1" applyFont="1" applyFill="1" applyBorder="1" applyAlignment="1" applyProtection="1">
      <alignment horizontal="center" vertical="center"/>
      <protection locked="0"/>
    </xf>
    <xf numFmtId="0" fontId="2" fillId="20" borderId="7" xfId="1" applyNumberFormat="1" applyFont="1" applyFill="1" applyBorder="1" applyAlignment="1">
      <alignment horizontal="left" vertical="center" wrapText="1"/>
    </xf>
    <xf numFmtId="164" fontId="2" fillId="20" borderId="7" xfId="1" applyNumberFormat="1" applyFont="1" applyFill="1" applyBorder="1" applyAlignment="1">
      <alignment horizontal="left" vertical="center" wrapText="1"/>
    </xf>
    <xf numFmtId="0" fontId="2" fillId="20" borderId="7" xfId="0" applyFont="1" applyFill="1" applyBorder="1" applyAlignment="1">
      <alignment vertical="center"/>
    </xf>
    <xf numFmtId="0" fontId="2" fillId="20" borderId="7" xfId="0" applyFont="1" applyFill="1" applyBorder="1" applyAlignment="1">
      <alignment horizontal="center" vertical="center"/>
    </xf>
    <xf numFmtId="164" fontId="8" fillId="20" borderId="7" xfId="0" applyNumberFormat="1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/>
    </xf>
    <xf numFmtId="0" fontId="7" fillId="0" borderId="20" xfId="0" applyFont="1" applyBorder="1" applyAlignment="1">
      <alignment vertical="center" wrapText="1"/>
    </xf>
    <xf numFmtId="0" fontId="7" fillId="0" borderId="35" xfId="0" applyFont="1" applyBorder="1" applyAlignment="1">
      <alignment vertical="center"/>
    </xf>
    <xf numFmtId="0" fontId="0" fillId="20" borderId="12" xfId="0" applyFill="1" applyBorder="1" applyAlignment="1">
      <alignment horizontal="center" vertical="center"/>
    </xf>
    <xf numFmtId="0" fontId="12" fillId="25" borderId="1" xfId="0" applyFont="1" applyFill="1" applyBorder="1" applyAlignment="1" applyProtection="1">
      <alignment horizontal="center" vertical="center" wrapText="1"/>
      <protection locked="0"/>
    </xf>
    <xf numFmtId="0" fontId="24" fillId="33" borderId="1" xfId="0" applyFont="1" applyFill="1" applyBorder="1" applyAlignment="1">
      <alignment horizontal="center" vertical="center" wrapText="1"/>
    </xf>
    <xf numFmtId="0" fontId="24" fillId="3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8" fontId="6" fillId="30" borderId="1" xfId="0" applyNumberFormat="1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/>
    </xf>
    <xf numFmtId="8" fontId="7" fillId="30" borderId="1" xfId="0" applyNumberFormat="1" applyFont="1" applyFill="1" applyBorder="1" applyAlignment="1">
      <alignment horizontal="center"/>
    </xf>
    <xf numFmtId="0" fontId="27" fillId="35" borderId="1" xfId="0" applyFont="1" applyFill="1" applyBorder="1" applyAlignment="1">
      <alignment horizontal="center" vertical="center" wrapText="1"/>
    </xf>
    <xf numFmtId="0" fontId="27" fillId="35" borderId="1" xfId="0" applyFont="1" applyFill="1" applyBorder="1" applyAlignment="1">
      <alignment horizontal="center" vertical="center"/>
    </xf>
    <xf numFmtId="0" fontId="0" fillId="8" borderId="0" xfId="0" applyFill="1"/>
    <xf numFmtId="0" fontId="0" fillId="0" borderId="41" xfId="0" applyBorder="1" applyAlignment="1">
      <alignment horizontal="center"/>
    </xf>
    <xf numFmtId="0" fontId="3" fillId="0" borderId="15" xfId="0" applyFont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164" fontId="2" fillId="8" borderId="10" xfId="0" applyNumberFormat="1" applyFont="1" applyFill="1" applyBorder="1" applyAlignment="1">
      <alignment horizontal="center"/>
    </xf>
    <xf numFmtId="164" fontId="2" fillId="19" borderId="18" xfId="0" applyNumberFormat="1" applyFont="1" applyFill="1" applyBorder="1" applyAlignment="1">
      <alignment horizontal="center"/>
    </xf>
    <xf numFmtId="164" fontId="2" fillId="19" borderId="13" xfId="0" applyNumberFormat="1" applyFont="1" applyFill="1" applyBorder="1" applyAlignment="1">
      <alignment horizontal="center"/>
    </xf>
    <xf numFmtId="164" fontId="3" fillId="19" borderId="13" xfId="0" applyNumberFormat="1" applyFont="1" applyFill="1" applyBorder="1" applyAlignment="1">
      <alignment horizontal="center"/>
    </xf>
    <xf numFmtId="8" fontId="6" fillId="19" borderId="20" xfId="0" applyNumberFormat="1" applyFont="1" applyFill="1" applyBorder="1" applyAlignment="1">
      <alignment wrapText="1"/>
    </xf>
    <xf numFmtId="164" fontId="2" fillId="19" borderId="30" xfId="0" applyNumberFormat="1" applyFont="1" applyFill="1" applyBorder="1" applyAlignment="1">
      <alignment horizontal="center"/>
    </xf>
    <xf numFmtId="164" fontId="6" fillId="19" borderId="21" xfId="0" applyNumberFormat="1" applyFont="1" applyFill="1" applyBorder="1" applyAlignment="1">
      <alignment wrapText="1"/>
    </xf>
    <xf numFmtId="0" fontId="2" fillId="19" borderId="1" xfId="1" applyNumberFormat="1" applyFont="1" applyFill="1" applyBorder="1" applyAlignment="1">
      <alignment horizontal="left" vertical="center" wrapText="1"/>
    </xf>
    <xf numFmtId="164" fontId="2" fillId="19" borderId="2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2" fillId="0" borderId="13" xfId="1" applyNumberFormat="1" applyFont="1" applyFill="1" applyBorder="1" applyAlignment="1">
      <alignment horizontal="left" vertical="center" wrapText="1"/>
    </xf>
    <xf numFmtId="164" fontId="2" fillId="19" borderId="14" xfId="0" applyNumberFormat="1" applyFont="1" applyFill="1" applyBorder="1" applyAlignment="1">
      <alignment horizontal="center"/>
    </xf>
    <xf numFmtId="0" fontId="7" fillId="0" borderId="15" xfId="0" applyFont="1" applyBorder="1"/>
    <xf numFmtId="0" fontId="7" fillId="9" borderId="1" xfId="0" applyFont="1" applyFill="1" applyBorder="1" applyAlignment="1">
      <alignment wrapText="1"/>
    </xf>
    <xf numFmtId="0" fontId="11" fillId="0" borderId="1" xfId="0" applyFont="1" applyBorder="1" applyAlignment="1">
      <alignment horizontal="left" vertical="center"/>
    </xf>
    <xf numFmtId="0" fontId="21" fillId="9" borderId="1" xfId="0" applyFont="1" applyFill="1" applyBorder="1"/>
    <xf numFmtId="0" fontId="7" fillId="9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left"/>
    </xf>
    <xf numFmtId="0" fontId="13" fillId="19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1" xfId="0" applyFont="1" applyBorder="1"/>
    <xf numFmtId="0" fontId="13" fillId="10" borderId="1" xfId="0" applyFont="1" applyFill="1" applyBorder="1" applyAlignment="1">
      <alignment horizontal="center"/>
    </xf>
    <xf numFmtId="0" fontId="13" fillId="19" borderId="0" xfId="0" applyFont="1" applyFill="1" applyAlignment="1">
      <alignment wrapText="1"/>
    </xf>
    <xf numFmtId="0" fontId="13" fillId="9" borderId="18" xfId="0" applyFont="1" applyFill="1" applyBorder="1" applyAlignment="1">
      <alignment vertical="center"/>
    </xf>
    <xf numFmtId="164" fontId="13" fillId="19" borderId="20" xfId="0" applyNumberFormat="1" applyFont="1" applyFill="1" applyBorder="1" applyAlignment="1">
      <alignment wrapText="1"/>
    </xf>
    <xf numFmtId="0" fontId="13" fillId="10" borderId="31" xfId="0" applyFont="1" applyFill="1" applyBorder="1"/>
    <xf numFmtId="164" fontId="13" fillId="19" borderId="20" xfId="0" applyNumberFormat="1" applyFont="1" applyFill="1" applyBorder="1" applyAlignment="1">
      <alignment horizontal="center" wrapText="1"/>
    </xf>
    <xf numFmtId="0" fontId="13" fillId="0" borderId="39" xfId="0" applyFont="1" applyBorder="1" applyAlignment="1">
      <alignment wrapText="1"/>
    </xf>
    <xf numFmtId="0" fontId="13" fillId="9" borderId="1" xfId="0" applyFont="1" applyFill="1" applyBorder="1"/>
    <xf numFmtId="0" fontId="13" fillId="19" borderId="37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164" fontId="13" fillId="19" borderId="21" xfId="0" applyNumberFormat="1" applyFont="1" applyFill="1" applyBorder="1" applyAlignment="1">
      <alignment horizontal="center" wrapText="1"/>
    </xf>
    <xf numFmtId="164" fontId="13" fillId="19" borderId="13" xfId="0" applyNumberFormat="1" applyFont="1" applyFill="1" applyBorder="1" applyAlignment="1">
      <alignment horizontal="center" wrapText="1"/>
    </xf>
    <xf numFmtId="0" fontId="13" fillId="0" borderId="1" xfId="0" applyFont="1" applyBorder="1"/>
    <xf numFmtId="164" fontId="3" fillId="19" borderId="1" xfId="0" applyNumberFormat="1" applyFont="1" applyFill="1" applyBorder="1" applyAlignment="1">
      <alignment horizontal="center" wrapText="1"/>
    </xf>
    <xf numFmtId="0" fontId="13" fillId="0" borderId="14" xfId="0" applyFont="1" applyBorder="1"/>
    <xf numFmtId="0" fontId="13" fillId="0" borderId="1" xfId="0" applyFont="1" applyBorder="1" applyAlignment="1">
      <alignment vertical="center" wrapText="1"/>
    </xf>
    <xf numFmtId="164" fontId="13" fillId="19" borderId="10" xfId="0" applyNumberFormat="1" applyFont="1" applyFill="1" applyBorder="1" applyAlignment="1">
      <alignment vertical="center" wrapText="1"/>
    </xf>
    <xf numFmtId="0" fontId="13" fillId="0" borderId="0" xfId="0" applyFont="1"/>
    <xf numFmtId="0" fontId="13" fillId="9" borderId="10" xfId="0" applyFont="1" applyFill="1" applyBorder="1" applyAlignment="1">
      <alignment wrapText="1"/>
    </xf>
    <xf numFmtId="164" fontId="13" fillId="19" borderId="1" xfId="0" applyNumberFormat="1" applyFont="1" applyFill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164" fontId="13" fillId="19" borderId="1" xfId="0" applyNumberFormat="1" applyFont="1" applyFill="1" applyBorder="1" applyAlignment="1">
      <alignment wrapText="1"/>
    </xf>
    <xf numFmtId="0" fontId="13" fillId="0" borderId="42" xfId="0" applyFont="1" applyBorder="1" applyAlignment="1">
      <alignment horizontal="center" vertical="center"/>
    </xf>
    <xf numFmtId="0" fontId="13" fillId="20" borderId="13" xfId="0" applyFont="1" applyFill="1" applyBorder="1" applyAlignment="1">
      <alignment wrapText="1"/>
    </xf>
    <xf numFmtId="0" fontId="13" fillId="20" borderId="15" xfId="0" applyFont="1" applyFill="1" applyBorder="1" applyAlignment="1">
      <alignment horizontal="center"/>
    </xf>
    <xf numFmtId="164" fontId="8" fillId="20" borderId="15" xfId="0" applyNumberFormat="1" applyFont="1" applyFill="1" applyBorder="1" applyAlignment="1">
      <alignment horizontal="center"/>
    </xf>
    <xf numFmtId="0" fontId="2" fillId="20" borderId="15" xfId="0" applyFont="1" applyFill="1" applyBorder="1"/>
    <xf numFmtId="8" fontId="7" fillId="30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8" fontId="11" fillId="30" borderId="1" xfId="0" applyNumberFormat="1" applyFont="1" applyFill="1" applyBorder="1" applyAlignment="1">
      <alignment horizontal="center" vertical="center"/>
    </xf>
    <xf numFmtId="8" fontId="7" fillId="30" borderId="1" xfId="0" applyNumberFormat="1" applyFont="1" applyFill="1" applyBorder="1" applyAlignment="1">
      <alignment wrapText="1"/>
    </xf>
    <xf numFmtId="0" fontId="7" fillId="0" borderId="1" xfId="0" applyFont="1" applyBorder="1" applyAlignment="1">
      <alignment horizontal="left" vertical="center"/>
    </xf>
    <xf numFmtId="8" fontId="7" fillId="30" borderId="1" xfId="0" applyNumberFormat="1" applyFont="1" applyFill="1" applyBorder="1" applyAlignment="1">
      <alignment vertical="center" wrapText="1"/>
    </xf>
    <xf numFmtId="0" fontId="7" fillId="30" borderId="1" xfId="0" applyFont="1" applyFill="1" applyBorder="1" applyAlignment="1">
      <alignment horizontal="center" vertical="center"/>
    </xf>
    <xf numFmtId="8" fontId="11" fillId="30" borderId="1" xfId="0" applyNumberFormat="1" applyFont="1" applyFill="1" applyBorder="1" applyAlignment="1">
      <alignment horizontal="center" wrapText="1"/>
    </xf>
    <xf numFmtId="0" fontId="7" fillId="31" borderId="1" xfId="0" applyFont="1" applyFill="1" applyBorder="1" applyAlignment="1">
      <alignment wrapText="1"/>
    </xf>
    <xf numFmtId="0" fontId="7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vertical="center" wrapText="1"/>
    </xf>
    <xf numFmtId="0" fontId="7" fillId="32" borderId="1" xfId="0" applyFont="1" applyFill="1" applyBorder="1" applyAlignment="1">
      <alignment horizontal="left" vertical="center" wrapText="1"/>
    </xf>
    <xf numFmtId="8" fontId="24" fillId="32" borderId="1" xfId="0" applyNumberFormat="1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vertical="center"/>
    </xf>
    <xf numFmtId="0" fontId="6" fillId="3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9" fillId="0" borderId="20" xfId="0" applyFont="1" applyBorder="1" applyAlignment="1">
      <alignment horizontal="center" vertical="center" wrapText="1"/>
    </xf>
    <xf numFmtId="0" fontId="16" fillId="9" borderId="0" xfId="0" applyFont="1" applyFill="1" applyAlignment="1">
      <alignment horizontal="left"/>
    </xf>
    <xf numFmtId="0" fontId="14" fillId="0" borderId="20" xfId="0" applyFont="1" applyBorder="1"/>
    <xf numFmtId="0" fontId="30" fillId="0" borderId="1" xfId="0" applyFont="1" applyBorder="1" applyAlignment="1">
      <alignment horizontal="center" vertical="center"/>
    </xf>
    <xf numFmtId="0" fontId="1" fillId="4" borderId="5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20" borderId="12" xfId="0" applyFill="1" applyBorder="1" applyAlignment="1">
      <alignment horizontal="center"/>
    </xf>
    <xf numFmtId="0" fontId="2" fillId="20" borderId="17" xfId="1" applyNumberFormat="1" applyFont="1" applyFill="1" applyBorder="1" applyAlignment="1">
      <alignment horizontal="left" vertical="center" wrapText="1"/>
    </xf>
    <xf numFmtId="0" fontId="2" fillId="20" borderId="7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19" borderId="14" xfId="0" applyNumberFormat="1" applyFont="1" applyFill="1" applyBorder="1" applyAlignment="1">
      <alignment horizontal="left" vertical="center"/>
    </xf>
    <xf numFmtId="0" fontId="2" fillId="9" borderId="6" xfId="0" applyFont="1" applyFill="1" applyBorder="1" applyAlignment="1">
      <alignment vertical="center"/>
    </xf>
    <xf numFmtId="0" fontId="2" fillId="0" borderId="35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" fillId="0" borderId="15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164" fontId="2" fillId="19" borderId="37" xfId="0" applyNumberFormat="1" applyFont="1" applyFill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64" fontId="2" fillId="19" borderId="15" xfId="1" applyNumberFormat="1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164" fontId="2" fillId="19" borderId="15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3" fillId="11" borderId="1" xfId="0" applyFont="1" applyFill="1" applyBorder="1" applyAlignment="1">
      <alignment vertical="center"/>
    </xf>
    <xf numFmtId="0" fontId="23" fillId="11" borderId="13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/>
    </xf>
    <xf numFmtId="14" fontId="12" fillId="22" borderId="14" xfId="0" applyNumberFormat="1" applyFont="1" applyFill="1" applyBorder="1" applyAlignment="1" applyProtection="1">
      <alignment horizontal="center" vertical="center"/>
      <protection locked="0"/>
    </xf>
    <xf numFmtId="0" fontId="2" fillId="24" borderId="15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1" fillId="8" borderId="14" xfId="0" applyFont="1" applyFill="1" applyBorder="1"/>
    <xf numFmtId="14" fontId="12" fillId="8" borderId="14" xfId="0" applyNumberFormat="1" applyFont="1" applyFill="1" applyBorder="1" applyAlignment="1" applyProtection="1">
      <alignment horizontal="center" vertical="center"/>
      <protection locked="0"/>
    </xf>
    <xf numFmtId="0" fontId="2" fillId="8" borderId="15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1" fillId="9" borderId="14" xfId="0" applyFont="1" applyFill="1" applyBorder="1" applyAlignment="1">
      <alignment horizontal="center"/>
    </xf>
    <xf numFmtId="14" fontId="12" fillId="14" borderId="1" xfId="0" applyNumberFormat="1" applyFont="1" applyFill="1" applyBorder="1" applyAlignment="1" applyProtection="1">
      <alignment vertical="center"/>
      <protection locked="0"/>
    </xf>
    <xf numFmtId="0" fontId="2" fillId="21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15" xfId="0" applyFont="1" applyBorder="1" applyAlignment="1">
      <alignment horizontal="center" vertical="center"/>
    </xf>
    <xf numFmtId="14" fontId="12" fillId="20" borderId="1" xfId="0" applyNumberFormat="1" applyFont="1" applyFill="1" applyBorder="1" applyAlignment="1" applyProtection="1">
      <alignment horizontal="center" vertical="center"/>
      <protection locked="0"/>
    </xf>
    <xf numFmtId="0" fontId="13" fillId="20" borderId="1" xfId="0" applyFont="1" applyFill="1" applyBorder="1" applyAlignment="1">
      <alignment horizontal="center" vertical="center"/>
    </xf>
    <xf numFmtId="0" fontId="7" fillId="20" borderId="15" xfId="0" applyFont="1" applyFill="1" applyBorder="1" applyAlignment="1">
      <alignment horizontal="center" vertical="center"/>
    </xf>
    <xf numFmtId="0" fontId="30" fillId="10" borderId="18" xfId="0" applyFont="1" applyFill="1" applyBorder="1"/>
    <xf numFmtId="0" fontId="30" fillId="0" borderId="0" xfId="0" applyFont="1"/>
    <xf numFmtId="164" fontId="30" fillId="19" borderId="18" xfId="0" applyNumberFormat="1" applyFont="1" applyFill="1" applyBorder="1" applyAlignment="1">
      <alignment vertical="center" wrapText="1"/>
    </xf>
    <xf numFmtId="0" fontId="25" fillId="2" borderId="20" xfId="0" applyFont="1" applyFill="1" applyBorder="1" applyAlignment="1">
      <alignment horizontal="center" vertical="center"/>
    </xf>
    <xf numFmtId="0" fontId="34" fillId="0" borderId="0" xfId="0" applyFont="1" applyAlignment="1">
      <alignment wrapText="1"/>
    </xf>
    <xf numFmtId="0" fontId="2" fillId="0" borderId="15" xfId="1" applyNumberFormat="1" applyFont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5" fillId="10" borderId="1" xfId="0" applyFont="1" applyFill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5" fillId="10" borderId="1" xfId="0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10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14" fontId="12" fillId="36" borderId="1" xfId="0" applyNumberFormat="1" applyFont="1" applyFill="1" applyBorder="1" applyAlignment="1" applyProtection="1">
      <alignment horizontal="center" vertical="center"/>
      <protection locked="0"/>
    </xf>
    <xf numFmtId="0" fontId="13" fillId="36" borderId="1" xfId="0" applyFont="1" applyFill="1" applyBorder="1" applyAlignment="1">
      <alignment horizontal="center" vertical="center"/>
    </xf>
    <xf numFmtId="0" fontId="13" fillId="29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2" fillId="15" borderId="1" xfId="0" applyFont="1" applyFill="1" applyBorder="1" applyAlignment="1">
      <alignment horizontal="center"/>
    </xf>
    <xf numFmtId="0" fontId="38" fillId="20" borderId="1" xfId="0" applyFont="1" applyFill="1" applyBorder="1" applyAlignment="1">
      <alignment horizontal="center" vertical="center"/>
    </xf>
    <xf numFmtId="14" fontId="12" fillId="14" borderId="1" xfId="0" applyNumberFormat="1" applyFont="1" applyFill="1" applyBorder="1" applyAlignment="1" applyProtection="1">
      <alignment horizontal="center" vertical="center"/>
      <protection locked="0"/>
    </xf>
    <xf numFmtId="0" fontId="38" fillId="12" borderId="1" xfId="0" applyFont="1" applyFill="1" applyBorder="1" applyAlignment="1">
      <alignment horizontal="center" vertical="center"/>
    </xf>
    <xf numFmtId="0" fontId="39" fillId="14" borderId="15" xfId="0" applyFont="1" applyFill="1" applyBorder="1" applyAlignment="1">
      <alignment horizontal="center" vertical="center"/>
    </xf>
    <xf numFmtId="0" fontId="38" fillId="9" borderId="1" xfId="0" applyFont="1" applyFill="1" applyBorder="1" applyAlignment="1">
      <alignment horizontal="center" vertical="center"/>
    </xf>
    <xf numFmtId="0" fontId="38" fillId="29" borderId="1" xfId="0" applyFont="1" applyFill="1" applyBorder="1" applyAlignment="1">
      <alignment horizontal="center" vertical="center"/>
    </xf>
    <xf numFmtId="14" fontId="12" fillId="22" borderId="13" xfId="0" applyNumberFormat="1" applyFont="1" applyFill="1" applyBorder="1" applyAlignment="1" applyProtection="1">
      <alignment horizontal="center" vertical="center"/>
      <protection locked="0"/>
    </xf>
    <xf numFmtId="0" fontId="21" fillId="9" borderId="1" xfId="0" applyFont="1" applyFill="1" applyBorder="1" applyAlignment="1">
      <alignment horizontal="center" vertical="center"/>
    </xf>
    <xf numFmtId="0" fontId="2" fillId="2" borderId="13" xfId="0" applyFont="1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vertical="center"/>
    </xf>
    <xf numFmtId="0" fontId="2" fillId="2" borderId="22" xfId="0" applyFont="1" applyFill="1" applyBorder="1"/>
    <xf numFmtId="0" fontId="7" fillId="2" borderId="1" xfId="0" applyFont="1" applyFill="1" applyBorder="1" applyAlignment="1">
      <alignment wrapText="1"/>
    </xf>
    <xf numFmtId="0" fontId="7" fillId="2" borderId="5" xfId="0" applyFont="1" applyFill="1" applyBorder="1" applyAlignment="1">
      <alignment horizontal="center"/>
    </xf>
    <xf numFmtId="0" fontId="7" fillId="38" borderId="15" xfId="0" applyFont="1" applyFill="1" applyBorder="1" applyAlignment="1">
      <alignment horizontal="center"/>
    </xf>
    <xf numFmtId="0" fontId="20" fillId="38" borderId="15" xfId="0" applyFont="1" applyFill="1" applyBorder="1" applyAlignment="1">
      <alignment horizontal="center"/>
    </xf>
    <xf numFmtId="0" fontId="11" fillId="38" borderId="15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43" fillId="20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left"/>
    </xf>
    <xf numFmtId="0" fontId="23" fillId="11" borderId="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12" fillId="9" borderId="13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left" vertical="center"/>
    </xf>
    <xf numFmtId="0" fontId="12" fillId="9" borderId="22" xfId="0" applyFont="1" applyFill="1" applyBorder="1" applyAlignment="1">
      <alignment horizontal="left" vertical="center"/>
    </xf>
    <xf numFmtId="0" fontId="5" fillId="7" borderId="24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11" xfId="0" applyFont="1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21" fillId="9" borderId="13" xfId="0" applyFont="1" applyFill="1" applyBorder="1" applyAlignment="1">
      <alignment horizontal="left" vertical="center"/>
    </xf>
    <xf numFmtId="0" fontId="21" fillId="9" borderId="10" xfId="0" applyFont="1" applyFill="1" applyBorder="1" applyAlignment="1">
      <alignment horizontal="left" vertical="center"/>
    </xf>
    <xf numFmtId="0" fontId="21" fillId="9" borderId="22" xfId="0" applyFont="1" applyFill="1" applyBorder="1" applyAlignment="1">
      <alignment horizontal="left" vertical="center"/>
    </xf>
    <xf numFmtId="0" fontId="2" fillId="20" borderId="13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0" fontId="2" fillId="20" borderId="22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21" fillId="9" borderId="14" xfId="0" applyFont="1" applyFill="1" applyBorder="1" applyAlignment="1">
      <alignment horizontal="center"/>
    </xf>
    <xf numFmtId="0" fontId="21" fillId="9" borderId="15" xfId="0" applyFont="1" applyFill="1" applyBorder="1" applyAlignment="1">
      <alignment horizontal="center"/>
    </xf>
    <xf numFmtId="0" fontId="41" fillId="37" borderId="9" xfId="0" applyFont="1" applyFill="1" applyBorder="1" applyAlignment="1">
      <alignment horizontal="center"/>
    </xf>
    <xf numFmtId="0" fontId="41" fillId="37" borderId="10" xfId="0" applyFont="1" applyFill="1" applyBorder="1" applyAlignment="1">
      <alignment horizontal="center"/>
    </xf>
    <xf numFmtId="0" fontId="40" fillId="37" borderId="9" xfId="0" applyFont="1" applyFill="1" applyBorder="1" applyAlignment="1">
      <alignment horizontal="center"/>
    </xf>
    <xf numFmtId="0" fontId="40" fillId="37" borderId="10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41" fillId="37" borderId="13" xfId="0" applyFont="1" applyFill="1" applyBorder="1" applyAlignment="1">
      <alignment horizontal="center" vertical="center"/>
    </xf>
    <xf numFmtId="0" fontId="41" fillId="37" borderId="10" xfId="0" applyFont="1" applyFill="1" applyBorder="1" applyAlignment="1">
      <alignment horizontal="center" vertical="center"/>
    </xf>
    <xf numFmtId="14" fontId="1" fillId="6" borderId="13" xfId="0" applyNumberFormat="1" applyFont="1" applyFill="1" applyBorder="1" applyAlignment="1" applyProtection="1">
      <alignment horizontal="right" vertical="center" wrapText="1"/>
      <protection locked="0"/>
    </xf>
    <xf numFmtId="14" fontId="1" fillId="6" borderId="10" xfId="0" applyNumberFormat="1" applyFont="1" applyFill="1" applyBorder="1" applyAlignment="1" applyProtection="1">
      <alignment horizontal="right" vertical="center" wrapText="1"/>
      <protection locked="0"/>
    </xf>
    <xf numFmtId="14" fontId="1" fillId="6" borderId="22" xfId="0" applyNumberFormat="1" applyFont="1" applyFill="1" applyBorder="1" applyAlignment="1" applyProtection="1">
      <alignment horizontal="right" vertical="center" wrapText="1"/>
      <protection locked="0"/>
    </xf>
    <xf numFmtId="0" fontId="21" fillId="9" borderId="32" xfId="0" applyFont="1" applyFill="1" applyBorder="1" applyAlignment="1">
      <alignment horizontal="left" vertical="center"/>
    </xf>
    <xf numFmtId="0" fontId="21" fillId="9" borderId="36" xfId="0" applyFont="1" applyFill="1" applyBorder="1" applyAlignment="1">
      <alignment horizontal="left" vertical="center"/>
    </xf>
    <xf numFmtId="0" fontId="31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5" fillId="7" borderId="14" xfId="0" applyFont="1" applyFill="1" applyBorder="1" applyAlignment="1">
      <alignment horizontal="left"/>
    </xf>
    <xf numFmtId="0" fontId="10" fillId="11" borderId="13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2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11" borderId="31" xfId="0" applyFont="1" applyFill="1" applyBorder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wrapText="1"/>
    </xf>
    <xf numFmtId="0" fontId="10" fillId="11" borderId="1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28" fillId="34" borderId="13" xfId="0" applyFont="1" applyFill="1" applyBorder="1" applyAlignment="1">
      <alignment horizontal="center" vertical="center"/>
    </xf>
    <xf numFmtId="0" fontId="28" fillId="34" borderId="10" xfId="0" applyFont="1" applyFill="1" applyBorder="1" applyAlignment="1">
      <alignment horizontal="center" vertical="center"/>
    </xf>
    <xf numFmtId="0" fontId="28" fillId="34" borderId="22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left"/>
    </xf>
    <xf numFmtId="0" fontId="26" fillId="5" borderId="10" xfId="0" applyFont="1" applyFill="1" applyBorder="1" applyAlignment="1">
      <alignment horizontal="left"/>
    </xf>
    <xf numFmtId="0" fontId="26" fillId="5" borderId="22" xfId="0" applyFont="1" applyFill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20" fillId="31" borderId="13" xfId="0" applyFont="1" applyFill="1" applyBorder="1" applyAlignment="1">
      <alignment horizontal="left" vertical="center"/>
    </xf>
    <xf numFmtId="0" fontId="20" fillId="31" borderId="10" xfId="0" applyFont="1" applyFill="1" applyBorder="1" applyAlignment="1">
      <alignment horizontal="left" vertical="center"/>
    </xf>
    <xf numFmtId="0" fontId="20" fillId="31" borderId="22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/>
    </xf>
    <xf numFmtId="164" fontId="7" fillId="19" borderId="30" xfId="0" applyNumberFormat="1" applyFont="1" applyFill="1" applyBorder="1" applyAlignment="1">
      <alignment vertical="center" wrapText="1"/>
    </xf>
    <xf numFmtId="0" fontId="44" fillId="0" borderId="1" xfId="0" applyFont="1" applyBorder="1"/>
    <xf numFmtId="164" fontId="2" fillId="19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 2" xfId="1" xr:uid="{AEF03AC1-C9B9-4A9D-8EBA-9D8B2AB8FF00}"/>
  </cellStyles>
  <dxfs count="0"/>
  <tableStyles count="1" defaultTableStyle="TableStyleMedium2" defaultPivotStyle="PivotStyleLight16">
    <tableStyle name="Invisible" pivot="0" table="0" count="0" xr9:uid="{8FDCFED9-3B44-4A93-A3CC-BA18375DEA69}"/>
  </tableStyles>
  <colors>
    <mruColors>
      <color rgb="FF000000"/>
      <color rgb="FFFFFFFF"/>
      <color rgb="FF61B55C"/>
      <color rgb="FF969696"/>
      <color rgb="FFED7D31"/>
      <color rgb="FFF7C5A3"/>
      <color rgb="FFFFFF0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077E-3D63-41DD-A9F7-342DBA024A79}">
  <sheetPr>
    <tabColor rgb="FF002060"/>
  </sheetPr>
  <dimension ref="A1:I80"/>
  <sheetViews>
    <sheetView zoomScaleNormal="100" workbookViewId="0">
      <selection activeCell="E5" sqref="E5"/>
    </sheetView>
  </sheetViews>
  <sheetFormatPr defaultRowHeight="15" x14ac:dyDescent="0.25"/>
  <cols>
    <col min="2" max="2" width="60.85546875" customWidth="1"/>
    <col min="3" max="3" width="0.140625" customWidth="1"/>
    <col min="4" max="5" width="14" customWidth="1"/>
    <col min="6" max="6" width="12.7109375" customWidth="1"/>
    <col min="7" max="7" width="18.5703125" customWidth="1"/>
    <col min="9" max="9" width="9.85546875" bestFit="1" customWidth="1"/>
  </cols>
  <sheetData>
    <row r="1" spans="1:7" ht="18" customHeight="1" x14ac:dyDescent="0.25">
      <c r="A1" s="443" t="s">
        <v>0</v>
      </c>
      <c r="B1" s="444"/>
      <c r="C1" s="444"/>
      <c r="D1" s="444"/>
      <c r="E1" s="444"/>
      <c r="F1" s="444"/>
      <c r="G1" s="445"/>
    </row>
    <row r="2" spans="1:7" ht="18" customHeight="1" x14ac:dyDescent="0.25">
      <c r="A2" s="446" t="s">
        <v>1</v>
      </c>
      <c r="B2" s="447"/>
      <c r="C2" s="447"/>
      <c r="D2" s="447"/>
      <c r="E2" s="447"/>
      <c r="F2" s="447"/>
      <c r="G2" s="448"/>
    </row>
    <row r="3" spans="1:7" ht="18" customHeight="1" x14ac:dyDescent="0.25">
      <c r="A3" s="446" t="s">
        <v>2</v>
      </c>
      <c r="B3" s="447"/>
      <c r="C3" s="447"/>
      <c r="D3" s="447"/>
      <c r="E3" s="447"/>
      <c r="F3" s="447"/>
      <c r="G3" s="448"/>
    </row>
    <row r="4" spans="1:7" ht="20.25" customHeight="1" x14ac:dyDescent="0.25">
      <c r="A4" s="351" t="s">
        <v>3</v>
      </c>
      <c r="B4" s="28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12" t="s">
        <v>9</v>
      </c>
    </row>
    <row r="5" spans="1:7" x14ac:dyDescent="0.25">
      <c r="A5" s="352">
        <f>ROW()-4</f>
        <v>1</v>
      </c>
      <c r="B5" s="169" t="s">
        <v>10</v>
      </c>
      <c r="C5" s="78">
        <f>'ESTOQUE - SPO'!D6</f>
        <v>126.1</v>
      </c>
      <c r="D5" s="5" t="s">
        <v>11</v>
      </c>
      <c r="E5" s="441">
        <v>0</v>
      </c>
      <c r="F5" s="81">
        <f>C5*E5</f>
        <v>0</v>
      </c>
      <c r="G5" s="360" t="s">
        <v>12</v>
      </c>
    </row>
    <row r="6" spans="1:7" x14ac:dyDescent="0.25">
      <c r="A6" s="352">
        <f t="shared" ref="A6:A65" si="0">ROW()-4</f>
        <v>2</v>
      </c>
      <c r="B6" s="74" t="s">
        <v>13</v>
      </c>
      <c r="C6" s="78" t="e">
        <f>'ESTOQUE - SPO'!#REF!</f>
        <v>#REF!</v>
      </c>
      <c r="D6" s="5" t="s">
        <v>11</v>
      </c>
      <c r="E6" s="167">
        <v>50</v>
      </c>
      <c r="F6" s="81"/>
      <c r="G6" s="110"/>
    </row>
    <row r="7" spans="1:7" x14ac:dyDescent="0.25">
      <c r="A7" s="352">
        <f t="shared" si="0"/>
        <v>3</v>
      </c>
      <c r="B7" s="169" t="s">
        <v>14</v>
      </c>
      <c r="C7" s="78">
        <v>65.13</v>
      </c>
      <c r="D7" s="5">
        <v>37</v>
      </c>
      <c r="E7" s="261">
        <v>10</v>
      </c>
      <c r="F7" s="109">
        <f t="shared" ref="F7:F38" si="1">E7*C7</f>
        <v>651.29999999999995</v>
      </c>
      <c r="G7" s="110"/>
    </row>
    <row r="8" spans="1:7" x14ac:dyDescent="0.25">
      <c r="A8" s="352">
        <f t="shared" si="0"/>
        <v>4</v>
      </c>
      <c r="B8" s="169" t="s">
        <v>14</v>
      </c>
      <c r="C8" s="78">
        <v>65.13</v>
      </c>
      <c r="D8" s="5">
        <v>38</v>
      </c>
      <c r="E8" s="261">
        <v>12</v>
      </c>
      <c r="F8" s="109">
        <f t="shared" si="1"/>
        <v>781.56</v>
      </c>
      <c r="G8" s="110"/>
    </row>
    <row r="9" spans="1:7" x14ac:dyDescent="0.25">
      <c r="A9" s="352">
        <f t="shared" si="0"/>
        <v>5</v>
      </c>
      <c r="B9" s="169" t="s">
        <v>14</v>
      </c>
      <c r="C9" s="78">
        <v>65.13</v>
      </c>
      <c r="D9" s="5">
        <v>39</v>
      </c>
      <c r="E9" s="406">
        <v>8</v>
      </c>
      <c r="F9" s="109">
        <f t="shared" si="1"/>
        <v>521.04</v>
      </c>
      <c r="G9" s="110"/>
    </row>
    <row r="10" spans="1:7" x14ac:dyDescent="0.25">
      <c r="A10" s="352">
        <f t="shared" si="0"/>
        <v>6</v>
      </c>
      <c r="B10" s="169" t="s">
        <v>14</v>
      </c>
      <c r="C10" s="78">
        <v>65.13</v>
      </c>
      <c r="D10" s="5">
        <v>41</v>
      </c>
      <c r="E10" s="406">
        <v>6</v>
      </c>
      <c r="F10" s="109">
        <f t="shared" si="1"/>
        <v>390.78</v>
      </c>
      <c r="G10" s="110"/>
    </row>
    <row r="11" spans="1:7" ht="15" customHeight="1" x14ac:dyDescent="0.25">
      <c r="A11" s="352">
        <f t="shared" si="0"/>
        <v>7</v>
      </c>
      <c r="B11" s="251" t="s">
        <v>15</v>
      </c>
      <c r="C11" s="79">
        <v>104.29</v>
      </c>
      <c r="D11" s="17">
        <v>34</v>
      </c>
      <c r="E11" s="413">
        <v>0</v>
      </c>
      <c r="F11" s="109">
        <f t="shared" si="1"/>
        <v>0</v>
      </c>
      <c r="G11" s="360" t="s">
        <v>12</v>
      </c>
    </row>
    <row r="12" spans="1:7" ht="15" customHeight="1" x14ac:dyDescent="0.25">
      <c r="A12" s="352">
        <f t="shared" si="0"/>
        <v>8</v>
      </c>
      <c r="B12" s="251" t="s">
        <v>16</v>
      </c>
      <c r="C12" s="79">
        <v>104.29</v>
      </c>
      <c r="D12" s="17">
        <v>35</v>
      </c>
      <c r="E12" s="439">
        <v>0</v>
      </c>
      <c r="F12" s="109">
        <f t="shared" si="1"/>
        <v>0</v>
      </c>
      <c r="G12" s="360" t="s">
        <v>12</v>
      </c>
    </row>
    <row r="13" spans="1:7" ht="15" customHeight="1" x14ac:dyDescent="0.25">
      <c r="A13" s="352">
        <f t="shared" si="0"/>
        <v>9</v>
      </c>
      <c r="B13" s="251" t="s">
        <v>17</v>
      </c>
      <c r="C13" s="79">
        <f>'ESTOQUE - SPO'!D18</f>
        <v>104.29</v>
      </c>
      <c r="D13" s="17">
        <v>36</v>
      </c>
      <c r="E13" s="408">
        <v>9</v>
      </c>
      <c r="F13" s="109">
        <f t="shared" si="1"/>
        <v>938.61</v>
      </c>
      <c r="G13" s="110"/>
    </row>
    <row r="14" spans="1:7" ht="16.5" customHeight="1" x14ac:dyDescent="0.25">
      <c r="A14" s="352">
        <f t="shared" si="0"/>
        <v>10</v>
      </c>
      <c r="B14" s="251" t="s">
        <v>18</v>
      </c>
      <c r="C14" s="79">
        <f>'ESTOQUE - SPO'!D19</f>
        <v>104.29</v>
      </c>
      <c r="D14" s="18">
        <v>37</v>
      </c>
      <c r="E14" s="408">
        <v>15</v>
      </c>
      <c r="F14" s="109">
        <f t="shared" si="1"/>
        <v>1564.3500000000001</v>
      </c>
      <c r="G14" s="110"/>
    </row>
    <row r="15" spans="1:7" ht="15" customHeight="1" x14ac:dyDescent="0.25">
      <c r="A15" s="352">
        <f t="shared" si="0"/>
        <v>11</v>
      </c>
      <c r="B15" s="251" t="s">
        <v>19</v>
      </c>
      <c r="C15" s="79">
        <f>'ESTOQUE - SPO'!D20</f>
        <v>104.29</v>
      </c>
      <c r="D15" s="16">
        <v>38</v>
      </c>
      <c r="E15" s="408">
        <v>18</v>
      </c>
      <c r="F15" s="109">
        <f t="shared" si="1"/>
        <v>1877.22</v>
      </c>
      <c r="G15" s="110"/>
    </row>
    <row r="16" spans="1:7" ht="15" customHeight="1" x14ac:dyDescent="0.25">
      <c r="A16" s="352">
        <f t="shared" si="0"/>
        <v>12</v>
      </c>
      <c r="B16" s="251" t="s">
        <v>20</v>
      </c>
      <c r="C16" s="79">
        <f>'ESTOQUE - SPO'!D21</f>
        <v>104.29</v>
      </c>
      <c r="D16" s="17">
        <v>39</v>
      </c>
      <c r="E16" s="409">
        <v>28</v>
      </c>
      <c r="F16" s="109">
        <f t="shared" si="1"/>
        <v>2920.1200000000003</v>
      </c>
      <c r="G16" s="110"/>
    </row>
    <row r="17" spans="1:7" ht="15" customHeight="1" x14ac:dyDescent="0.25">
      <c r="A17" s="352">
        <f t="shared" si="0"/>
        <v>13</v>
      </c>
      <c r="B17" s="251" t="s">
        <v>21</v>
      </c>
      <c r="C17" s="79">
        <f>'ESTOQUE - SPO'!D22</f>
        <v>104.29</v>
      </c>
      <c r="D17" s="17">
        <v>40</v>
      </c>
      <c r="E17" s="409">
        <v>15</v>
      </c>
      <c r="F17" s="109">
        <f t="shared" si="1"/>
        <v>1564.3500000000001</v>
      </c>
      <c r="G17" s="110"/>
    </row>
    <row r="18" spans="1:7" ht="15" customHeight="1" x14ac:dyDescent="0.25">
      <c r="A18" s="352">
        <f t="shared" si="0"/>
        <v>14</v>
      </c>
      <c r="B18" s="251" t="s">
        <v>22</v>
      </c>
      <c r="C18" s="79">
        <f>'ESTOQUE - SPO'!D23</f>
        <v>104.29</v>
      </c>
      <c r="D18" s="18">
        <v>41</v>
      </c>
      <c r="E18" s="408">
        <v>11</v>
      </c>
      <c r="F18" s="109">
        <f t="shared" si="1"/>
        <v>1147.19</v>
      </c>
      <c r="G18" s="110"/>
    </row>
    <row r="19" spans="1:7" ht="15" customHeight="1" x14ac:dyDescent="0.25">
      <c r="A19" s="352">
        <f t="shared" si="0"/>
        <v>15</v>
      </c>
      <c r="B19" s="251" t="s">
        <v>23</v>
      </c>
      <c r="C19" s="79">
        <f>'ESTOQUE - SPO'!D24</f>
        <v>104.29</v>
      </c>
      <c r="D19" s="18">
        <v>42</v>
      </c>
      <c r="E19" s="408">
        <v>5</v>
      </c>
      <c r="F19" s="109">
        <f t="shared" si="1"/>
        <v>521.45000000000005</v>
      </c>
      <c r="G19" s="110"/>
    </row>
    <row r="20" spans="1:7" ht="15" customHeight="1" x14ac:dyDescent="0.25">
      <c r="A20" s="352">
        <f t="shared" si="0"/>
        <v>16</v>
      </c>
      <c r="B20" s="251" t="s">
        <v>24</v>
      </c>
      <c r="C20" s="79">
        <f>'ESTOQUE - SPO'!D25</f>
        <v>104.29</v>
      </c>
      <c r="D20" s="18">
        <v>43</v>
      </c>
      <c r="E20" s="408">
        <v>12</v>
      </c>
      <c r="F20" s="109">
        <f t="shared" si="1"/>
        <v>1251.48</v>
      </c>
      <c r="G20" s="110"/>
    </row>
    <row r="21" spans="1:7" ht="15" customHeight="1" x14ac:dyDescent="0.25">
      <c r="A21" s="352">
        <f t="shared" si="0"/>
        <v>17</v>
      </c>
      <c r="B21" s="251" t="s">
        <v>25</v>
      </c>
      <c r="C21" s="79">
        <f>'ESTOQUE - SPO'!D26</f>
        <v>104.29</v>
      </c>
      <c r="D21" s="18">
        <v>44</v>
      </c>
      <c r="E21" s="408">
        <v>14</v>
      </c>
      <c r="F21" s="109">
        <f t="shared" si="1"/>
        <v>1460.0600000000002</v>
      </c>
      <c r="G21" s="110"/>
    </row>
    <row r="22" spans="1:7" ht="15" customHeight="1" x14ac:dyDescent="0.25">
      <c r="A22" s="352">
        <f t="shared" si="0"/>
        <v>18</v>
      </c>
      <c r="B22" s="251" t="s">
        <v>26</v>
      </c>
      <c r="C22" s="79">
        <f>'ESTOQUE - SPO'!D27</f>
        <v>104.29</v>
      </c>
      <c r="D22" s="18">
        <v>45</v>
      </c>
      <c r="E22" s="413">
        <v>0</v>
      </c>
      <c r="F22" s="109">
        <f t="shared" si="1"/>
        <v>0</v>
      </c>
      <c r="G22" s="360" t="s">
        <v>12</v>
      </c>
    </row>
    <row r="23" spans="1:7" ht="15" customHeight="1" x14ac:dyDescent="0.25">
      <c r="A23" s="352">
        <f t="shared" si="0"/>
        <v>19</v>
      </c>
      <c r="B23" s="169" t="s">
        <v>27</v>
      </c>
      <c r="C23" s="78">
        <v>32.549999999999997</v>
      </c>
      <c r="D23" s="5" t="s">
        <v>28</v>
      </c>
      <c r="E23" s="406">
        <v>10</v>
      </c>
      <c r="F23" s="109">
        <f t="shared" si="1"/>
        <v>325.5</v>
      </c>
      <c r="G23" s="364"/>
    </row>
    <row r="24" spans="1:7" ht="16.5" customHeight="1" x14ac:dyDescent="0.25">
      <c r="A24" s="352">
        <f t="shared" si="0"/>
        <v>20</v>
      </c>
      <c r="B24" s="169" t="s">
        <v>27</v>
      </c>
      <c r="C24" s="78">
        <v>32.549999999999997</v>
      </c>
      <c r="D24" s="5" t="s">
        <v>29</v>
      </c>
      <c r="E24" s="408">
        <v>7</v>
      </c>
      <c r="F24" s="109">
        <f t="shared" si="1"/>
        <v>227.84999999999997</v>
      </c>
      <c r="G24" s="364"/>
    </row>
    <row r="25" spans="1:7" ht="15" customHeight="1" x14ac:dyDescent="0.25">
      <c r="A25" s="352">
        <f t="shared" si="0"/>
        <v>21</v>
      </c>
      <c r="B25" s="169" t="s">
        <v>30</v>
      </c>
      <c r="C25" s="78">
        <v>32.549999999999997</v>
      </c>
      <c r="D25" s="5" t="s">
        <v>31</v>
      </c>
      <c r="E25" s="406">
        <v>10</v>
      </c>
      <c r="F25" s="109">
        <f t="shared" si="1"/>
        <v>325.5</v>
      </c>
      <c r="G25" s="364"/>
    </row>
    <row r="26" spans="1:7" ht="15" customHeight="1" x14ac:dyDescent="0.25">
      <c r="A26" s="352">
        <f t="shared" si="0"/>
        <v>22</v>
      </c>
      <c r="B26" s="169" t="s">
        <v>30</v>
      </c>
      <c r="C26" s="78">
        <v>32.549999999999997</v>
      </c>
      <c r="D26" s="5" t="s">
        <v>32</v>
      </c>
      <c r="E26" s="408">
        <v>1</v>
      </c>
      <c r="F26" s="109">
        <f t="shared" si="1"/>
        <v>32.549999999999997</v>
      </c>
      <c r="G26" s="110"/>
    </row>
    <row r="27" spans="1:7" ht="14.25" customHeight="1" x14ac:dyDescent="0.25">
      <c r="A27" s="352">
        <f t="shared" si="0"/>
        <v>23</v>
      </c>
      <c r="B27" s="74" t="s">
        <v>33</v>
      </c>
      <c r="C27" s="80">
        <v>40</v>
      </c>
      <c r="D27" s="17" t="s">
        <v>29</v>
      </c>
      <c r="E27" s="408">
        <v>14</v>
      </c>
      <c r="F27" s="109">
        <f t="shared" si="1"/>
        <v>560</v>
      </c>
      <c r="G27" s="110"/>
    </row>
    <row r="28" spans="1:7" ht="15" customHeight="1" x14ac:dyDescent="0.25">
      <c r="A28" s="352">
        <f t="shared" si="0"/>
        <v>24</v>
      </c>
      <c r="B28" s="74" t="s">
        <v>34</v>
      </c>
      <c r="C28" s="80">
        <v>40</v>
      </c>
      <c r="D28" s="52" t="s">
        <v>28</v>
      </c>
      <c r="E28" s="408">
        <v>20</v>
      </c>
      <c r="F28" s="109">
        <f t="shared" si="1"/>
        <v>800</v>
      </c>
      <c r="G28" s="110"/>
    </row>
    <row r="29" spans="1:7" ht="15" customHeight="1" x14ac:dyDescent="0.25">
      <c r="A29" s="352">
        <f t="shared" si="0"/>
        <v>25</v>
      </c>
      <c r="B29" s="74" t="s">
        <v>35</v>
      </c>
      <c r="C29" s="80">
        <v>40</v>
      </c>
      <c r="D29" s="52" t="s">
        <v>31</v>
      </c>
      <c r="E29" s="408">
        <v>20</v>
      </c>
      <c r="F29" s="109">
        <f t="shared" si="1"/>
        <v>800</v>
      </c>
      <c r="G29" s="110"/>
    </row>
    <row r="30" spans="1:7" ht="15" customHeight="1" x14ac:dyDescent="0.25">
      <c r="A30" s="352">
        <f t="shared" si="0"/>
        <v>26</v>
      </c>
      <c r="B30" s="74" t="s">
        <v>36</v>
      </c>
      <c r="C30" s="80">
        <v>40</v>
      </c>
      <c r="D30" s="52" t="s">
        <v>37</v>
      </c>
      <c r="E30" s="408">
        <v>10</v>
      </c>
      <c r="F30" s="109">
        <f t="shared" si="1"/>
        <v>400</v>
      </c>
      <c r="G30" s="110"/>
    </row>
    <row r="31" spans="1:7" ht="15" customHeight="1" x14ac:dyDescent="0.25">
      <c r="A31" s="352">
        <f t="shared" si="0"/>
        <v>27</v>
      </c>
      <c r="B31" s="169" t="s">
        <v>38</v>
      </c>
      <c r="C31" s="78">
        <f>'ESTOQUE - SPO'!D36</f>
        <v>75</v>
      </c>
      <c r="D31" s="5" t="s">
        <v>11</v>
      </c>
      <c r="E31" s="408">
        <v>10</v>
      </c>
      <c r="F31" s="109">
        <f t="shared" si="1"/>
        <v>750</v>
      </c>
      <c r="G31" s="110"/>
    </row>
    <row r="32" spans="1:7" ht="15" customHeight="1" x14ac:dyDescent="0.25">
      <c r="A32" s="352">
        <f t="shared" si="0"/>
        <v>28</v>
      </c>
      <c r="B32" s="169" t="s">
        <v>39</v>
      </c>
      <c r="C32" s="173">
        <v>48.25</v>
      </c>
      <c r="D32" s="5" t="s">
        <v>11</v>
      </c>
      <c r="E32" s="408">
        <v>6</v>
      </c>
      <c r="F32" s="109">
        <f t="shared" si="1"/>
        <v>289.5</v>
      </c>
      <c r="G32" s="110"/>
    </row>
    <row r="33" spans="1:7" ht="15.75" customHeight="1" x14ac:dyDescent="0.25">
      <c r="A33" s="352">
        <f t="shared" si="0"/>
        <v>29</v>
      </c>
      <c r="B33" s="251" t="s">
        <v>40</v>
      </c>
      <c r="C33" s="79"/>
      <c r="D33" s="5" t="s">
        <v>11</v>
      </c>
      <c r="E33" s="408">
        <v>15</v>
      </c>
      <c r="F33" s="109">
        <f t="shared" si="1"/>
        <v>0</v>
      </c>
      <c r="G33" s="110"/>
    </row>
    <row r="34" spans="1:7" ht="15" customHeight="1" x14ac:dyDescent="0.25">
      <c r="A34" s="352">
        <f t="shared" si="0"/>
        <v>30</v>
      </c>
      <c r="B34" s="169" t="s">
        <v>41</v>
      </c>
      <c r="C34" s="78">
        <f>'ESTOQUE - SPO'!D40</f>
        <v>584.20000000000005</v>
      </c>
      <c r="D34" s="5" t="s">
        <v>11</v>
      </c>
      <c r="E34" s="408">
        <v>20</v>
      </c>
      <c r="F34" s="109">
        <f t="shared" si="1"/>
        <v>11684</v>
      </c>
      <c r="G34" s="110"/>
    </row>
    <row r="35" spans="1:7" ht="15" customHeight="1" x14ac:dyDescent="0.25">
      <c r="A35" s="352">
        <f t="shared" si="0"/>
        <v>31</v>
      </c>
      <c r="B35" s="74" t="s">
        <v>42</v>
      </c>
      <c r="C35" s="80">
        <f>'ESTOQUE - SPO'!D42</f>
        <v>21</v>
      </c>
      <c r="D35" s="5" t="s">
        <v>11</v>
      </c>
      <c r="E35" s="408">
        <v>34</v>
      </c>
      <c r="F35" s="109">
        <f t="shared" si="1"/>
        <v>714</v>
      </c>
      <c r="G35" s="110"/>
    </row>
    <row r="36" spans="1:7" ht="15" customHeight="1" x14ac:dyDescent="0.25">
      <c r="A36" s="352">
        <f t="shared" si="0"/>
        <v>32</v>
      </c>
      <c r="B36" s="74" t="s">
        <v>43</v>
      </c>
      <c r="C36" s="80">
        <f>'ESTOQUE - SPO'!D43</f>
        <v>39</v>
      </c>
      <c r="D36" s="49" t="s">
        <v>44</v>
      </c>
      <c r="E36" s="408">
        <v>50</v>
      </c>
      <c r="F36" s="109">
        <f t="shared" si="1"/>
        <v>1950</v>
      </c>
      <c r="G36" s="110"/>
    </row>
    <row r="37" spans="1:7" ht="15" customHeight="1" x14ac:dyDescent="0.25">
      <c r="A37" s="352">
        <f t="shared" si="0"/>
        <v>33</v>
      </c>
      <c r="B37" s="74" t="s">
        <v>45</v>
      </c>
      <c r="C37" s="80"/>
      <c r="D37" s="49"/>
      <c r="E37" s="409">
        <v>40</v>
      </c>
      <c r="F37" s="109"/>
      <c r="G37" s="110"/>
    </row>
    <row r="38" spans="1:7" ht="14.25" customHeight="1" x14ac:dyDescent="0.25">
      <c r="A38" s="352">
        <f t="shared" si="0"/>
        <v>34</v>
      </c>
      <c r="B38" s="251" t="s">
        <v>46</v>
      </c>
      <c r="C38" s="79">
        <f>'ESTOQUE - SPO'!D46</f>
        <v>28.94</v>
      </c>
      <c r="D38" s="5" t="s">
        <v>11</v>
      </c>
      <c r="E38" s="408">
        <v>25</v>
      </c>
      <c r="F38" s="109">
        <f t="shared" si="1"/>
        <v>723.5</v>
      </c>
      <c r="G38" s="110"/>
    </row>
    <row r="39" spans="1:7" ht="15" customHeight="1" x14ac:dyDescent="0.25">
      <c r="A39" s="352">
        <f t="shared" si="0"/>
        <v>35</v>
      </c>
      <c r="B39" s="251" t="s">
        <v>47</v>
      </c>
      <c r="C39" s="78"/>
      <c r="D39" s="5" t="s">
        <v>11</v>
      </c>
      <c r="E39" s="414">
        <v>0</v>
      </c>
      <c r="F39" s="109"/>
      <c r="G39" s="360" t="s">
        <v>12</v>
      </c>
    </row>
    <row r="40" spans="1:7" ht="13.5" customHeight="1" x14ac:dyDescent="0.25">
      <c r="A40" s="352">
        <f t="shared" si="0"/>
        <v>36</v>
      </c>
      <c r="B40" s="74" t="s">
        <v>48</v>
      </c>
      <c r="C40" s="173">
        <v>8.6300000000000008</v>
      </c>
      <c r="D40" s="27"/>
      <c r="E40" s="408">
        <v>20</v>
      </c>
      <c r="F40" s="109">
        <f t="shared" ref="F40:F56" si="2">E40*C40</f>
        <v>172.60000000000002</v>
      </c>
      <c r="G40" s="110"/>
    </row>
    <row r="41" spans="1:7" ht="15" customHeight="1" x14ac:dyDescent="0.25">
      <c r="A41" s="352">
        <f t="shared" si="0"/>
        <v>37</v>
      </c>
      <c r="B41" s="251" t="s">
        <v>49</v>
      </c>
      <c r="C41" s="79">
        <v>30.66</v>
      </c>
      <c r="D41" s="16">
        <v>9</v>
      </c>
      <c r="E41" s="408">
        <v>8</v>
      </c>
      <c r="F41" s="109">
        <f t="shared" si="2"/>
        <v>245.28</v>
      </c>
      <c r="G41" s="110"/>
    </row>
    <row r="42" spans="1:7" ht="15" customHeight="1" x14ac:dyDescent="0.25">
      <c r="A42" s="352">
        <f t="shared" si="0"/>
        <v>38</v>
      </c>
      <c r="B42" s="251" t="s">
        <v>50</v>
      </c>
      <c r="C42" s="79">
        <v>30.66</v>
      </c>
      <c r="D42" s="16">
        <v>8</v>
      </c>
      <c r="E42" s="408">
        <v>5</v>
      </c>
      <c r="F42" s="109">
        <f t="shared" si="2"/>
        <v>153.30000000000001</v>
      </c>
      <c r="G42" s="110"/>
    </row>
    <row r="43" spans="1:7" ht="16.5" customHeight="1" x14ac:dyDescent="0.25">
      <c r="A43" s="352">
        <f t="shared" si="0"/>
        <v>39</v>
      </c>
      <c r="B43" s="251" t="s">
        <v>51</v>
      </c>
      <c r="C43" s="79">
        <v>30.66</v>
      </c>
      <c r="D43" s="16">
        <v>7</v>
      </c>
      <c r="E43" s="413">
        <v>0</v>
      </c>
      <c r="F43" s="109">
        <f t="shared" si="2"/>
        <v>0</v>
      </c>
      <c r="G43" s="360" t="s">
        <v>12</v>
      </c>
    </row>
    <row r="44" spans="1:7" ht="15" customHeight="1" x14ac:dyDescent="0.25">
      <c r="A44" s="352">
        <f t="shared" si="0"/>
        <v>40</v>
      </c>
      <c r="B44" s="251" t="s">
        <v>52</v>
      </c>
      <c r="C44" s="79">
        <v>30.66</v>
      </c>
      <c r="D44" s="16">
        <v>10</v>
      </c>
      <c r="E44" s="413">
        <v>0</v>
      </c>
      <c r="F44" s="109">
        <f t="shared" si="2"/>
        <v>0</v>
      </c>
      <c r="G44" s="360" t="s">
        <v>12</v>
      </c>
    </row>
    <row r="45" spans="1:7" ht="15" customHeight="1" x14ac:dyDescent="0.25">
      <c r="A45" s="352">
        <f t="shared" si="0"/>
        <v>41</v>
      </c>
      <c r="B45" s="251" t="s">
        <v>53</v>
      </c>
      <c r="C45" s="79"/>
      <c r="D45" s="16"/>
      <c r="E45" s="413">
        <v>0</v>
      </c>
      <c r="F45" s="109"/>
      <c r="G45" s="360" t="s">
        <v>12</v>
      </c>
    </row>
    <row r="46" spans="1:7" ht="15" customHeight="1" x14ac:dyDescent="0.25">
      <c r="A46" s="352">
        <f t="shared" si="0"/>
        <v>42</v>
      </c>
      <c r="B46" s="251" t="s">
        <v>54</v>
      </c>
      <c r="C46" s="79"/>
      <c r="D46" s="16" t="s">
        <v>32</v>
      </c>
      <c r="E46" s="408">
        <v>14</v>
      </c>
      <c r="F46" s="109"/>
      <c r="G46" s="110"/>
    </row>
    <row r="47" spans="1:7" ht="15" customHeight="1" x14ac:dyDescent="0.25">
      <c r="A47" s="352">
        <f t="shared" si="0"/>
        <v>43</v>
      </c>
      <c r="B47" s="251" t="s">
        <v>55</v>
      </c>
      <c r="C47" s="79">
        <f>'ESTOQUE - SPO'!D57</f>
        <v>38</v>
      </c>
      <c r="D47" s="16">
        <v>10</v>
      </c>
      <c r="E47" s="408">
        <v>18</v>
      </c>
      <c r="F47" s="109">
        <f t="shared" si="2"/>
        <v>684</v>
      </c>
      <c r="G47" s="110"/>
    </row>
    <row r="48" spans="1:7" ht="15" customHeight="1" x14ac:dyDescent="0.25">
      <c r="A48" s="352">
        <f t="shared" si="0"/>
        <v>44</v>
      </c>
      <c r="B48" s="251" t="s">
        <v>56</v>
      </c>
      <c r="C48" s="79">
        <f>'ESTOQUE - SPO'!D58</f>
        <v>38</v>
      </c>
      <c r="D48" s="16">
        <v>11</v>
      </c>
      <c r="E48" s="408">
        <v>14</v>
      </c>
      <c r="F48" s="109">
        <f t="shared" si="2"/>
        <v>532</v>
      </c>
      <c r="G48" s="110"/>
    </row>
    <row r="49" spans="1:7" ht="15" customHeight="1" x14ac:dyDescent="0.25">
      <c r="A49" s="352">
        <f t="shared" si="0"/>
        <v>45</v>
      </c>
      <c r="B49" s="251" t="s">
        <v>57</v>
      </c>
      <c r="C49" s="79">
        <f>'ESTOQUE - SPO'!D56</f>
        <v>38</v>
      </c>
      <c r="D49" s="16">
        <v>9</v>
      </c>
      <c r="E49" s="409">
        <v>10</v>
      </c>
      <c r="F49" s="109">
        <f t="shared" si="2"/>
        <v>380</v>
      </c>
      <c r="G49" s="110"/>
    </row>
    <row r="50" spans="1:7" ht="15" customHeight="1" x14ac:dyDescent="0.25">
      <c r="A50" s="352">
        <f t="shared" si="0"/>
        <v>46</v>
      </c>
      <c r="B50" s="251" t="s">
        <v>58</v>
      </c>
      <c r="C50" s="79">
        <f>'ESTOQUE - SPO'!D55</f>
        <v>35.89</v>
      </c>
      <c r="D50" s="16">
        <v>8</v>
      </c>
      <c r="E50" s="408">
        <v>20</v>
      </c>
      <c r="F50" s="109">
        <f t="shared" si="2"/>
        <v>717.8</v>
      </c>
      <c r="G50" s="364"/>
    </row>
    <row r="51" spans="1:7" ht="15" customHeight="1" x14ac:dyDescent="0.25">
      <c r="A51" s="352">
        <f t="shared" si="0"/>
        <v>47</v>
      </c>
      <c r="B51" s="251" t="s">
        <v>59</v>
      </c>
      <c r="C51" s="79">
        <v>32.549999999999997</v>
      </c>
      <c r="D51" s="16" t="s">
        <v>29</v>
      </c>
      <c r="E51" s="408">
        <v>11</v>
      </c>
      <c r="F51" s="109">
        <f t="shared" si="2"/>
        <v>358.04999999999995</v>
      </c>
      <c r="G51" s="364"/>
    </row>
    <row r="52" spans="1:7" ht="15" customHeight="1" x14ac:dyDescent="0.25">
      <c r="A52" s="352">
        <f t="shared" si="0"/>
        <v>48</v>
      </c>
      <c r="B52" s="251" t="s">
        <v>60</v>
      </c>
      <c r="C52" s="79">
        <v>32.549999999999997</v>
      </c>
      <c r="D52" s="16" t="s">
        <v>28</v>
      </c>
      <c r="E52" s="440">
        <v>0</v>
      </c>
      <c r="F52" s="109">
        <f t="shared" si="2"/>
        <v>0</v>
      </c>
      <c r="G52" s="364"/>
    </row>
    <row r="53" spans="1:7" ht="15" customHeight="1" x14ac:dyDescent="0.25">
      <c r="A53" s="352">
        <f t="shared" si="0"/>
        <v>49</v>
      </c>
      <c r="B53" s="251" t="s">
        <v>61</v>
      </c>
      <c r="C53" s="79">
        <v>31.55</v>
      </c>
      <c r="D53" s="16" t="s">
        <v>31</v>
      </c>
      <c r="E53" s="413">
        <v>0</v>
      </c>
      <c r="F53" s="109">
        <f t="shared" si="2"/>
        <v>0</v>
      </c>
      <c r="G53" s="364"/>
    </row>
    <row r="54" spans="1:7" ht="15" customHeight="1" x14ac:dyDescent="0.25">
      <c r="A54" s="352">
        <f t="shared" si="0"/>
        <v>50</v>
      </c>
      <c r="B54" s="251" t="s">
        <v>62</v>
      </c>
      <c r="C54" s="79">
        <v>32.549999999999997</v>
      </c>
      <c r="D54" s="16" t="s">
        <v>32</v>
      </c>
      <c r="E54" s="408">
        <v>0</v>
      </c>
      <c r="F54" s="109">
        <f t="shared" si="2"/>
        <v>0</v>
      </c>
      <c r="G54" s="110"/>
    </row>
    <row r="55" spans="1:7" ht="15" customHeight="1" x14ac:dyDescent="0.25">
      <c r="A55" s="352">
        <f t="shared" si="0"/>
        <v>51</v>
      </c>
      <c r="B55" s="74" t="s">
        <v>63</v>
      </c>
      <c r="C55" s="80">
        <f>'ESTOQUE - SPO'!D71</f>
        <v>9</v>
      </c>
      <c r="D55" s="5" t="s">
        <v>11</v>
      </c>
      <c r="E55" s="406">
        <v>43</v>
      </c>
      <c r="F55" s="109">
        <f t="shared" si="2"/>
        <v>387</v>
      </c>
      <c r="G55" s="110"/>
    </row>
    <row r="56" spans="1:7" ht="15.75" customHeight="1" x14ac:dyDescent="0.25">
      <c r="A56" s="352">
        <f t="shared" si="0"/>
        <v>52</v>
      </c>
      <c r="B56" s="251" t="s">
        <v>64</v>
      </c>
      <c r="C56" s="79">
        <f>'ESTOQUE - SPO'!D70</f>
        <v>8.08</v>
      </c>
      <c r="D56" s="5" t="s">
        <v>11</v>
      </c>
      <c r="E56" s="409">
        <v>170</v>
      </c>
      <c r="F56" s="109">
        <f t="shared" si="2"/>
        <v>1373.6</v>
      </c>
      <c r="G56" s="110"/>
    </row>
    <row r="57" spans="1:7" ht="15" customHeight="1" x14ac:dyDescent="0.25">
      <c r="A57" s="352">
        <f t="shared" si="0"/>
        <v>53</v>
      </c>
      <c r="B57" s="74" t="s">
        <v>65</v>
      </c>
      <c r="C57" s="78">
        <f>8.08</f>
        <v>8.08</v>
      </c>
      <c r="D57" s="5" t="s">
        <v>11</v>
      </c>
      <c r="E57" s="410">
        <v>9</v>
      </c>
      <c r="F57" s="109">
        <v>90</v>
      </c>
      <c r="G57" s="110"/>
    </row>
    <row r="58" spans="1:7" ht="15" customHeight="1" x14ac:dyDescent="0.25">
      <c r="A58" s="352">
        <f t="shared" si="0"/>
        <v>54</v>
      </c>
      <c r="B58" s="169" t="s">
        <v>66</v>
      </c>
      <c r="C58" s="78">
        <f>'ESTOQUE - SPO'!D72</f>
        <v>0</v>
      </c>
      <c r="D58" s="5" t="s">
        <v>11</v>
      </c>
      <c r="E58" s="411">
        <v>9</v>
      </c>
      <c r="F58" s="109">
        <f>E58*C58</f>
        <v>0</v>
      </c>
      <c r="G58" s="110"/>
    </row>
    <row r="59" spans="1:7" ht="15" customHeight="1" x14ac:dyDescent="0.25">
      <c r="A59" s="352">
        <f t="shared" si="0"/>
        <v>55</v>
      </c>
      <c r="B59" s="169" t="s">
        <v>67</v>
      </c>
      <c r="C59" s="78"/>
      <c r="D59" s="5"/>
      <c r="E59" s="411">
        <v>33</v>
      </c>
      <c r="F59" s="109"/>
      <c r="G59" s="110"/>
    </row>
    <row r="60" spans="1:7" ht="15" customHeight="1" x14ac:dyDescent="0.25">
      <c r="A60" s="352">
        <f t="shared" si="0"/>
        <v>56</v>
      </c>
      <c r="B60" s="169" t="s">
        <v>68</v>
      </c>
      <c r="C60" s="170">
        <v>24.55</v>
      </c>
      <c r="D60" s="5" t="s">
        <v>11</v>
      </c>
      <c r="E60" s="409">
        <v>146</v>
      </c>
      <c r="F60" s="234">
        <f>E60*C60</f>
        <v>3584.3</v>
      </c>
      <c r="G60" s="110"/>
    </row>
    <row r="61" spans="1:7" ht="15" customHeight="1" x14ac:dyDescent="0.25">
      <c r="A61" s="352">
        <f t="shared" si="0"/>
        <v>57</v>
      </c>
      <c r="B61" s="169" t="s">
        <v>69</v>
      </c>
      <c r="C61" s="78">
        <f>'ESTOQUE - SPO'!D92</f>
        <v>280.39</v>
      </c>
      <c r="D61" s="5" t="s">
        <v>11</v>
      </c>
      <c r="E61" s="412">
        <v>20</v>
      </c>
      <c r="F61" s="109">
        <f>E61*C61</f>
        <v>5607.7999999999993</v>
      </c>
      <c r="G61" s="110"/>
    </row>
    <row r="62" spans="1:7" ht="15" customHeight="1" x14ac:dyDescent="0.25">
      <c r="A62" s="352">
        <f t="shared" si="0"/>
        <v>58</v>
      </c>
      <c r="B62" s="169" t="s">
        <v>70</v>
      </c>
      <c r="C62" s="78">
        <f>'ESTOQUE - SPO'!D93</f>
        <v>0</v>
      </c>
      <c r="D62" s="5" t="s">
        <v>11</v>
      </c>
      <c r="E62" s="408">
        <v>10</v>
      </c>
      <c r="F62" s="109">
        <f>E62*C62</f>
        <v>0</v>
      </c>
      <c r="G62" s="110"/>
    </row>
    <row r="63" spans="1:7" ht="15" customHeight="1" x14ac:dyDescent="0.25">
      <c r="A63" s="352">
        <f t="shared" si="0"/>
        <v>59</v>
      </c>
      <c r="B63" s="169" t="s">
        <v>71</v>
      </c>
      <c r="C63" s="78">
        <f>'ESTOQUE - SPO'!D94</f>
        <v>311.64999999999998</v>
      </c>
      <c r="D63" s="5" t="s">
        <v>11</v>
      </c>
      <c r="E63" s="412">
        <v>20</v>
      </c>
      <c r="F63" s="109">
        <f>E63*C63</f>
        <v>6233</v>
      </c>
      <c r="G63" s="110"/>
    </row>
    <row r="64" spans="1:7" ht="15" customHeight="1" x14ac:dyDescent="0.25">
      <c r="A64" s="352">
        <f t="shared" si="0"/>
        <v>60</v>
      </c>
      <c r="B64" s="74" t="s">
        <v>72</v>
      </c>
      <c r="C64" s="78"/>
      <c r="D64" s="5" t="s">
        <v>11</v>
      </c>
      <c r="E64" s="412">
        <v>31</v>
      </c>
      <c r="F64" s="109"/>
      <c r="G64" s="110"/>
    </row>
    <row r="65" spans="1:9" ht="15" customHeight="1" x14ac:dyDescent="0.25">
      <c r="A65" s="352">
        <f t="shared" si="0"/>
        <v>61</v>
      </c>
      <c r="B65" s="169" t="s">
        <v>73</v>
      </c>
      <c r="C65" s="78"/>
      <c r="D65" s="5" t="s">
        <v>11</v>
      </c>
      <c r="E65" s="409">
        <v>6</v>
      </c>
      <c r="F65" s="109"/>
      <c r="G65" s="110"/>
    </row>
    <row r="66" spans="1:9" ht="16.5" customHeight="1" x14ac:dyDescent="0.25">
      <c r="A66" s="264"/>
      <c r="B66" s="255"/>
      <c r="C66" s="256"/>
      <c r="D66" s="257"/>
      <c r="E66" s="258"/>
      <c r="F66" s="259">
        <f>SUM(F5:F62)</f>
        <v>49457.640000000014</v>
      </c>
      <c r="G66" s="260"/>
      <c r="I66" s="104"/>
    </row>
    <row r="67" spans="1:9" ht="18" customHeight="1" x14ac:dyDescent="0.25">
      <c r="A67" s="450"/>
      <c r="B67" s="450"/>
      <c r="C67" s="450"/>
      <c r="D67" s="450"/>
      <c r="E67" s="450"/>
      <c r="F67" s="450"/>
      <c r="G67" s="450"/>
      <c r="I67" s="104"/>
    </row>
    <row r="68" spans="1:9" ht="18" customHeight="1" x14ac:dyDescent="0.25">
      <c r="A68" s="451" t="s">
        <v>74</v>
      </c>
      <c r="B68" s="452"/>
      <c r="C68" s="452"/>
      <c r="D68" s="452"/>
      <c r="E68" s="452"/>
      <c r="F68" s="452"/>
      <c r="G68" s="453"/>
      <c r="I68" s="104"/>
    </row>
    <row r="69" spans="1:9" ht="12.75" customHeight="1" x14ac:dyDescent="0.25">
      <c r="A69" s="265" t="s">
        <v>3</v>
      </c>
      <c r="B69" s="120" t="s">
        <v>4</v>
      </c>
      <c r="C69" s="120" t="s">
        <v>5</v>
      </c>
      <c r="D69" s="118" t="s">
        <v>6</v>
      </c>
      <c r="E69" s="118" t="s">
        <v>7</v>
      </c>
      <c r="F69" s="118" t="s">
        <v>8</v>
      </c>
      <c r="G69" s="118" t="s">
        <v>9</v>
      </c>
      <c r="I69" s="104"/>
    </row>
    <row r="70" spans="1:9" ht="16.5" customHeight="1" x14ac:dyDescent="0.25">
      <c r="A70" s="449" t="s">
        <v>75</v>
      </c>
      <c r="B70" s="449"/>
      <c r="C70" s="449"/>
      <c r="D70" s="449"/>
      <c r="E70" s="449"/>
      <c r="F70" s="449"/>
      <c r="G70" s="449"/>
    </row>
    <row r="71" spans="1:9" ht="15.75" customHeight="1" x14ac:dyDescent="0.25">
      <c r="A71" s="5">
        <v>1</v>
      </c>
      <c r="B71" s="11" t="s">
        <v>76</v>
      </c>
      <c r="C71" s="124">
        <v>143.56</v>
      </c>
      <c r="D71" s="5" t="s">
        <v>11</v>
      </c>
      <c r="E71" s="5">
        <v>0</v>
      </c>
      <c r="F71" s="181">
        <f>C71*E71</f>
        <v>0</v>
      </c>
      <c r="G71" s="6"/>
    </row>
    <row r="72" spans="1:9" ht="15.75" customHeight="1" x14ac:dyDescent="0.25">
      <c r="A72" s="5">
        <v>2</v>
      </c>
      <c r="B72" s="11" t="s">
        <v>77</v>
      </c>
      <c r="C72" s="124">
        <v>65</v>
      </c>
      <c r="D72" s="5" t="s">
        <v>11</v>
      </c>
      <c r="E72" s="5">
        <v>0</v>
      </c>
      <c r="F72" s="181">
        <f t="shared" ref="F72:F74" si="3">C72*E72</f>
        <v>0</v>
      </c>
      <c r="G72" s="6"/>
    </row>
    <row r="73" spans="1:9" ht="15.75" customHeight="1" x14ac:dyDescent="0.25">
      <c r="A73" s="5">
        <v>3</v>
      </c>
      <c r="B73" s="11" t="s">
        <v>78</v>
      </c>
      <c r="C73" s="124">
        <v>44</v>
      </c>
      <c r="D73" s="5" t="s">
        <v>11</v>
      </c>
      <c r="E73" s="5">
        <v>0</v>
      </c>
      <c r="F73" s="181">
        <f t="shared" si="3"/>
        <v>0</v>
      </c>
      <c r="G73" s="6"/>
    </row>
    <row r="74" spans="1:9" ht="15.75" customHeight="1" x14ac:dyDescent="0.25">
      <c r="A74" s="5">
        <v>4</v>
      </c>
      <c r="B74" s="11" t="s">
        <v>79</v>
      </c>
      <c r="C74" s="124">
        <v>98.7</v>
      </c>
      <c r="D74" s="5" t="s">
        <v>11</v>
      </c>
      <c r="E74" s="5">
        <v>0</v>
      </c>
      <c r="F74" s="181">
        <f t="shared" si="3"/>
        <v>0</v>
      </c>
      <c r="G74" s="6"/>
    </row>
    <row r="75" spans="1:9" ht="15.75" customHeight="1" x14ac:dyDescent="0.25">
      <c r="A75" s="449" t="s">
        <v>80</v>
      </c>
      <c r="B75" s="449"/>
      <c r="C75" s="449"/>
      <c r="D75" s="449"/>
      <c r="E75" s="449"/>
      <c r="F75" s="449"/>
      <c r="G75" s="449"/>
    </row>
    <row r="76" spans="1:9" ht="15.75" customHeight="1" x14ac:dyDescent="0.25">
      <c r="A76" s="5">
        <v>1</v>
      </c>
      <c r="B76" s="11" t="s">
        <v>76</v>
      </c>
      <c r="C76" s="124">
        <v>143.56</v>
      </c>
      <c r="D76" s="5" t="s">
        <v>11</v>
      </c>
      <c r="E76" s="19">
        <v>9</v>
      </c>
      <c r="F76" s="181">
        <f>C76*E76</f>
        <v>1292.04</v>
      </c>
      <c r="G76" s="6"/>
    </row>
    <row r="77" spans="1:9" ht="15.75" customHeight="1" x14ac:dyDescent="0.25">
      <c r="A77" s="5">
        <v>2</v>
      </c>
      <c r="B77" s="50" t="s">
        <v>77</v>
      </c>
      <c r="C77" s="124">
        <v>65</v>
      </c>
      <c r="D77" s="5" t="s">
        <v>11</v>
      </c>
      <c r="E77" s="250">
        <v>8</v>
      </c>
      <c r="F77" s="181">
        <f t="shared" ref="F77:F79" si="4">C77*E77</f>
        <v>520</v>
      </c>
      <c r="G77" s="6"/>
    </row>
    <row r="78" spans="1:9" ht="15.75" customHeight="1" x14ac:dyDescent="0.25">
      <c r="A78" s="5">
        <v>3</v>
      </c>
      <c r="B78" s="11" t="s">
        <v>78</v>
      </c>
      <c r="C78" s="124">
        <v>44</v>
      </c>
      <c r="D78" s="5" t="s">
        <v>11</v>
      </c>
      <c r="E78" s="24">
        <v>14</v>
      </c>
      <c r="F78" s="181">
        <f t="shared" si="4"/>
        <v>616</v>
      </c>
      <c r="G78" s="6"/>
    </row>
    <row r="79" spans="1:9" ht="15.75" customHeight="1" x14ac:dyDescent="0.25">
      <c r="A79" s="5">
        <v>4</v>
      </c>
      <c r="B79" s="11" t="s">
        <v>79</v>
      </c>
      <c r="C79" s="124">
        <v>98.7</v>
      </c>
      <c r="D79" s="5" t="s">
        <v>11</v>
      </c>
      <c r="E79" s="407">
        <v>13</v>
      </c>
      <c r="F79" s="181">
        <f t="shared" si="4"/>
        <v>1283.1000000000001</v>
      </c>
      <c r="G79" s="6"/>
    </row>
    <row r="80" spans="1:9" x14ac:dyDescent="0.25">
      <c r="A80" s="85"/>
      <c r="B80" s="108"/>
      <c r="C80" s="83"/>
      <c r="D80" s="86"/>
      <c r="E80" s="85"/>
      <c r="F80" s="114" cm="1">
        <f t="array" ref="F80">SUM(F71:F74+F76:F79)</f>
        <v>3711.1400000000003</v>
      </c>
      <c r="G80" s="86"/>
    </row>
  </sheetData>
  <autoFilter ref="A4:G66" xr:uid="{36BB077E-3D63-41DD-A9F7-342DBA024A79}">
    <sortState xmlns:xlrd2="http://schemas.microsoft.com/office/spreadsheetml/2017/richdata2" ref="A5:G66">
      <sortCondition ref="B5:B66"/>
    </sortState>
  </autoFilter>
  <sortState xmlns:xlrd2="http://schemas.microsoft.com/office/spreadsheetml/2017/richdata2" ref="B5:G62">
    <sortCondition ref="B5:B62"/>
  </sortState>
  <mergeCells count="7">
    <mergeCell ref="A1:G1"/>
    <mergeCell ref="A2:G2"/>
    <mergeCell ref="A3:G3"/>
    <mergeCell ref="A70:G70"/>
    <mergeCell ref="A75:G75"/>
    <mergeCell ref="A67:G67"/>
    <mergeCell ref="A68:G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41D8-C986-4C7D-B69C-25BB7215B242}">
  <sheetPr>
    <tabColor rgb="FF7030A0"/>
    <pageSetUpPr fitToPage="1"/>
  </sheetPr>
  <dimension ref="A1:I67"/>
  <sheetViews>
    <sheetView topLeftCell="A15" workbookViewId="0">
      <selection activeCell="E29" sqref="E29"/>
    </sheetView>
  </sheetViews>
  <sheetFormatPr defaultRowHeight="15" x14ac:dyDescent="0.25"/>
  <cols>
    <col min="2" max="2" width="54.28515625" customWidth="1"/>
    <col min="3" max="3" width="12.7109375" customWidth="1"/>
    <col min="4" max="4" width="7" style="1" customWidth="1"/>
    <col min="5" max="5" width="9.85546875" style="25" customWidth="1"/>
    <col min="6" max="6" width="16.42578125" style="25" customWidth="1"/>
    <col min="7" max="7" width="16.5703125" customWidth="1"/>
  </cols>
  <sheetData>
    <row r="1" spans="1:7" ht="18" customHeight="1" x14ac:dyDescent="0.25">
      <c r="A1" s="443" t="s">
        <v>81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82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83</v>
      </c>
      <c r="B3" s="457"/>
      <c r="C3" s="457"/>
      <c r="D3" s="457"/>
      <c r="E3" s="457"/>
      <c r="F3" s="457"/>
      <c r="G3" s="458"/>
    </row>
    <row r="4" spans="1:7" x14ac:dyDescent="0.25">
      <c r="A4" s="48" t="s">
        <v>3</v>
      </c>
      <c r="B4" s="48" t="s">
        <v>4</v>
      </c>
      <c r="C4" s="60" t="s">
        <v>5</v>
      </c>
      <c r="D4" s="2" t="s">
        <v>6</v>
      </c>
      <c r="E4" s="2" t="s">
        <v>7</v>
      </c>
      <c r="F4" s="76" t="s">
        <v>8</v>
      </c>
      <c r="G4" s="12" t="s">
        <v>9</v>
      </c>
    </row>
    <row r="5" spans="1:7" x14ac:dyDescent="0.25">
      <c r="A5" s="353">
        <v>1</v>
      </c>
      <c r="B5" s="11" t="s">
        <v>10</v>
      </c>
      <c r="C5" s="78">
        <f>'ESTOQUE SUL - RS'!C5</f>
        <v>126.1</v>
      </c>
      <c r="D5" s="16"/>
      <c r="E5" s="16">
        <v>43</v>
      </c>
      <c r="F5" s="81">
        <f>C5*E5</f>
        <v>5422.3</v>
      </c>
      <c r="G5" s="110"/>
    </row>
    <row r="6" spans="1:7" x14ac:dyDescent="0.25">
      <c r="A6" s="353">
        <v>2</v>
      </c>
      <c r="B6" s="11" t="s">
        <v>84</v>
      </c>
      <c r="C6" s="78"/>
      <c r="D6" s="16"/>
      <c r="E6" s="16">
        <v>33</v>
      </c>
      <c r="F6" s="81"/>
      <c r="G6" s="110"/>
    </row>
    <row r="7" spans="1:7" x14ac:dyDescent="0.25">
      <c r="A7" s="353">
        <v>3</v>
      </c>
      <c r="B7" s="11" t="s">
        <v>85</v>
      </c>
      <c r="C7" s="78"/>
      <c r="D7" s="16"/>
      <c r="E7" s="16">
        <v>49</v>
      </c>
      <c r="F7" s="81"/>
      <c r="G7" s="110"/>
    </row>
    <row r="8" spans="1:7" x14ac:dyDescent="0.25">
      <c r="A8" s="353">
        <v>4</v>
      </c>
      <c r="B8" s="9" t="s">
        <v>86</v>
      </c>
      <c r="C8" s="79">
        <f>'ESTOQUE SUL - RS'!C16</f>
        <v>104.29</v>
      </c>
      <c r="D8" s="16">
        <v>34</v>
      </c>
      <c r="E8" s="362">
        <v>0</v>
      </c>
      <c r="F8" s="81">
        <f t="shared" ref="F8:F52" si="0">C8*E8</f>
        <v>0</v>
      </c>
      <c r="G8" s="360" t="s">
        <v>12</v>
      </c>
    </row>
    <row r="9" spans="1:7" x14ac:dyDescent="0.25">
      <c r="A9" s="353">
        <v>5</v>
      </c>
      <c r="B9" s="9" t="s">
        <v>86</v>
      </c>
      <c r="C9" s="79">
        <f>'ESTOQUE SUL - RS'!C17</f>
        <v>104.29</v>
      </c>
      <c r="D9" s="16">
        <v>35</v>
      </c>
      <c r="E9" s="361">
        <v>28</v>
      </c>
      <c r="F9" s="81">
        <f t="shared" si="0"/>
        <v>2920.1200000000003</v>
      </c>
      <c r="G9" s="110"/>
    </row>
    <row r="10" spans="1:7" x14ac:dyDescent="0.25">
      <c r="A10" s="353">
        <v>6</v>
      </c>
      <c r="B10" s="9" t="s">
        <v>86</v>
      </c>
      <c r="C10" s="79">
        <f>'ESTOQUE SUL - RS'!C18</f>
        <v>104.29</v>
      </c>
      <c r="D10" s="18">
        <v>36</v>
      </c>
      <c r="E10" s="361">
        <v>8</v>
      </c>
      <c r="F10" s="81">
        <f t="shared" si="0"/>
        <v>834.32</v>
      </c>
      <c r="G10" s="110"/>
    </row>
    <row r="11" spans="1:7" x14ac:dyDescent="0.25">
      <c r="A11" s="353">
        <v>7</v>
      </c>
      <c r="B11" s="9" t="s">
        <v>86</v>
      </c>
      <c r="C11" s="79">
        <f>'ESTOQUE SUL - RS'!C19</f>
        <v>104.29</v>
      </c>
      <c r="D11" s="18">
        <v>37</v>
      </c>
      <c r="E11" s="361">
        <v>21</v>
      </c>
      <c r="F11" s="81">
        <f t="shared" si="0"/>
        <v>2190.09</v>
      </c>
      <c r="G11" s="110"/>
    </row>
    <row r="12" spans="1:7" x14ac:dyDescent="0.25">
      <c r="A12" s="353">
        <v>8</v>
      </c>
      <c r="B12" s="9" t="s">
        <v>86</v>
      </c>
      <c r="C12" s="79">
        <f>'ESTOQUE SUL - RS'!C20</f>
        <v>104.29</v>
      </c>
      <c r="D12" s="18">
        <v>38</v>
      </c>
      <c r="E12" s="361">
        <v>22</v>
      </c>
      <c r="F12" s="81">
        <f t="shared" si="0"/>
        <v>2294.38</v>
      </c>
      <c r="G12" s="110"/>
    </row>
    <row r="13" spans="1:7" x14ac:dyDescent="0.25">
      <c r="A13" s="353">
        <v>9</v>
      </c>
      <c r="B13" s="9" t="s">
        <v>86</v>
      </c>
      <c r="C13" s="79">
        <f>'ESTOQUE SUL - RS'!C21</f>
        <v>104.29</v>
      </c>
      <c r="D13" s="18">
        <v>39</v>
      </c>
      <c r="E13" s="361">
        <v>26</v>
      </c>
      <c r="F13" s="81">
        <f t="shared" si="0"/>
        <v>2711.54</v>
      </c>
      <c r="G13" s="110"/>
    </row>
    <row r="14" spans="1:7" x14ac:dyDescent="0.25">
      <c r="A14" s="353">
        <v>10</v>
      </c>
      <c r="B14" s="9" t="s">
        <v>86</v>
      </c>
      <c r="C14" s="79">
        <f>'ESTOQUE SUL - RS'!C35</f>
        <v>21</v>
      </c>
      <c r="D14" s="18">
        <v>40</v>
      </c>
      <c r="E14" s="361">
        <v>20</v>
      </c>
      <c r="F14" s="81">
        <f t="shared" si="0"/>
        <v>420</v>
      </c>
      <c r="G14" s="110"/>
    </row>
    <row r="15" spans="1:7" x14ac:dyDescent="0.25">
      <c r="A15" s="353">
        <v>11</v>
      </c>
      <c r="B15" s="9" t="s">
        <v>86</v>
      </c>
      <c r="C15" s="79">
        <f>'ESTOQUE SUL - RS'!C35</f>
        <v>21</v>
      </c>
      <c r="D15" s="16">
        <v>41</v>
      </c>
      <c r="E15" s="361">
        <v>21</v>
      </c>
      <c r="F15" s="81">
        <f t="shared" si="0"/>
        <v>441</v>
      </c>
      <c r="G15" s="110"/>
    </row>
    <row r="16" spans="1:7" x14ac:dyDescent="0.25">
      <c r="A16" s="353">
        <v>12</v>
      </c>
      <c r="B16" s="9" t="s">
        <v>86</v>
      </c>
      <c r="C16" s="79">
        <f>'ESTOQUE SUL - RS'!C36</f>
        <v>39</v>
      </c>
      <c r="D16" s="16">
        <v>42</v>
      </c>
      <c r="E16" s="361">
        <v>36</v>
      </c>
      <c r="F16" s="81">
        <f t="shared" si="0"/>
        <v>1404</v>
      </c>
      <c r="G16" s="110"/>
    </row>
    <row r="17" spans="1:7" x14ac:dyDescent="0.25">
      <c r="A17" s="353">
        <v>13</v>
      </c>
      <c r="B17" s="9" t="s">
        <v>86</v>
      </c>
      <c r="C17" s="79">
        <f>'ESTOQUE SUL - RS'!C39</f>
        <v>0</v>
      </c>
      <c r="D17" s="16">
        <v>43</v>
      </c>
      <c r="E17" s="361">
        <v>21</v>
      </c>
      <c r="F17" s="81">
        <f t="shared" si="0"/>
        <v>0</v>
      </c>
      <c r="G17" s="110"/>
    </row>
    <row r="18" spans="1:7" x14ac:dyDescent="0.25">
      <c r="A18" s="353">
        <v>14</v>
      </c>
      <c r="B18" s="9" t="s">
        <v>86</v>
      </c>
      <c r="C18" s="79">
        <f>'ESTOQUE SUL - RS'!C43</f>
        <v>30.66</v>
      </c>
      <c r="D18" s="16">
        <v>44</v>
      </c>
      <c r="E18" s="361">
        <v>6</v>
      </c>
      <c r="F18" s="81">
        <f t="shared" si="0"/>
        <v>183.96</v>
      </c>
      <c r="G18" s="110"/>
    </row>
    <row r="19" spans="1:7" x14ac:dyDescent="0.25">
      <c r="A19" s="353">
        <v>15</v>
      </c>
      <c r="B19" s="9" t="s">
        <v>86</v>
      </c>
      <c r="C19" s="79">
        <f>'ESTOQUE SUL - RS'!C44</f>
        <v>30.66</v>
      </c>
      <c r="D19" s="16">
        <v>45</v>
      </c>
      <c r="E19" s="362">
        <v>8</v>
      </c>
      <c r="F19" s="81">
        <f t="shared" si="0"/>
        <v>245.28</v>
      </c>
      <c r="G19" s="360" t="s">
        <v>12</v>
      </c>
    </row>
    <row r="20" spans="1:7" x14ac:dyDescent="0.25">
      <c r="A20" s="353">
        <v>16</v>
      </c>
      <c r="B20" s="9" t="s">
        <v>86</v>
      </c>
      <c r="C20" s="79">
        <f>'ESTOQUE SUL - RS'!C47</f>
        <v>38</v>
      </c>
      <c r="D20" s="16">
        <v>46</v>
      </c>
      <c r="E20" s="361">
        <v>0</v>
      </c>
      <c r="F20" s="81">
        <f t="shared" si="0"/>
        <v>0</v>
      </c>
      <c r="G20" s="110"/>
    </row>
    <row r="21" spans="1:7" x14ac:dyDescent="0.25">
      <c r="A21" s="353">
        <v>17</v>
      </c>
      <c r="B21" s="10" t="s">
        <v>87</v>
      </c>
      <c r="C21" s="80">
        <f>'ESTOQUE SUL - RS'!C27</f>
        <v>40</v>
      </c>
      <c r="D21" s="18" t="s">
        <v>31</v>
      </c>
      <c r="E21" s="357">
        <v>15</v>
      </c>
      <c r="F21" s="81">
        <f t="shared" si="0"/>
        <v>600</v>
      </c>
      <c r="G21" s="360" t="s">
        <v>12</v>
      </c>
    </row>
    <row r="22" spans="1:7" x14ac:dyDescent="0.25">
      <c r="A22" s="353">
        <v>18</v>
      </c>
      <c r="B22" s="10" t="s">
        <v>87</v>
      </c>
      <c r="C22" s="80">
        <f>'ESTOQUE SUL - RS'!C28</f>
        <v>40</v>
      </c>
      <c r="D22" s="18" t="s">
        <v>28</v>
      </c>
      <c r="E22" s="357">
        <v>6</v>
      </c>
      <c r="F22" s="81">
        <f t="shared" si="0"/>
        <v>240</v>
      </c>
      <c r="G22" s="360" t="s">
        <v>12</v>
      </c>
    </row>
    <row r="23" spans="1:7" x14ac:dyDescent="0.25">
      <c r="A23" s="353">
        <v>19</v>
      </c>
      <c r="B23" s="10" t="s">
        <v>87</v>
      </c>
      <c r="C23" s="80">
        <f>'ESTOQUE SUL - RS'!C29</f>
        <v>40</v>
      </c>
      <c r="D23" s="16" t="s">
        <v>29</v>
      </c>
      <c r="E23" s="16">
        <v>26</v>
      </c>
      <c r="F23" s="81">
        <f t="shared" si="0"/>
        <v>1040</v>
      </c>
      <c r="G23" s="110"/>
    </row>
    <row r="24" spans="1:7" x14ac:dyDescent="0.25">
      <c r="A24" s="353">
        <v>20</v>
      </c>
      <c r="B24" s="10" t="s">
        <v>87</v>
      </c>
      <c r="C24" s="80">
        <f>'ESTOQUE SUL - RS'!C30</f>
        <v>40</v>
      </c>
      <c r="D24" s="18" t="s">
        <v>37</v>
      </c>
      <c r="E24" s="357">
        <v>18</v>
      </c>
      <c r="F24" s="81">
        <f t="shared" si="0"/>
        <v>720</v>
      </c>
      <c r="G24" s="360" t="s">
        <v>12</v>
      </c>
    </row>
    <row r="25" spans="1:7" x14ac:dyDescent="0.25">
      <c r="A25" s="353">
        <v>21</v>
      </c>
      <c r="B25" s="11" t="s">
        <v>38</v>
      </c>
      <c r="C25" s="78">
        <f>'ESTOQUE SUL - RS'!C26</f>
        <v>32.549999999999997</v>
      </c>
      <c r="D25" s="16"/>
      <c r="E25" s="16">
        <v>27</v>
      </c>
      <c r="F25" s="81">
        <f t="shared" si="0"/>
        <v>878.84999999999991</v>
      </c>
      <c r="G25" s="110"/>
    </row>
    <row r="26" spans="1:7" x14ac:dyDescent="0.25">
      <c r="A26" s="353">
        <v>22</v>
      </c>
      <c r="B26" s="262" t="s">
        <v>39</v>
      </c>
      <c r="C26" s="112">
        <v>48.25</v>
      </c>
      <c r="D26" s="16"/>
      <c r="E26" s="16">
        <v>28</v>
      </c>
      <c r="F26" s="81">
        <f t="shared" si="0"/>
        <v>1351</v>
      </c>
      <c r="G26" s="110"/>
    </row>
    <row r="27" spans="1:7" x14ac:dyDescent="0.25">
      <c r="A27" s="353">
        <v>23</v>
      </c>
      <c r="B27" s="9" t="s">
        <v>40</v>
      </c>
      <c r="C27" s="79">
        <f>'ESTOQUE SUL - RS'!C32</f>
        <v>48.25</v>
      </c>
      <c r="D27" s="18"/>
      <c r="E27" s="16">
        <v>27</v>
      </c>
      <c r="F27" s="81">
        <f t="shared" si="0"/>
        <v>1302.75</v>
      </c>
      <c r="G27" s="110"/>
    </row>
    <row r="28" spans="1:7" ht="24.75" customHeight="1" x14ac:dyDescent="0.25">
      <c r="A28" s="353">
        <v>24</v>
      </c>
      <c r="B28" s="11" t="s">
        <v>41</v>
      </c>
      <c r="C28" s="78">
        <f>'ESTOQUE SUL - RS'!C33</f>
        <v>0</v>
      </c>
      <c r="D28" s="16"/>
      <c r="E28" s="16">
        <v>16</v>
      </c>
      <c r="F28" s="81">
        <f t="shared" si="0"/>
        <v>0</v>
      </c>
      <c r="G28" s="110"/>
    </row>
    <row r="29" spans="1:7" x14ac:dyDescent="0.25">
      <c r="A29" s="353">
        <v>25</v>
      </c>
      <c r="B29" s="10" t="s">
        <v>42</v>
      </c>
      <c r="C29" s="80">
        <f>'ESTOQUE SUL - RS'!C34</f>
        <v>584.20000000000005</v>
      </c>
      <c r="D29" s="16"/>
      <c r="E29" s="357">
        <v>0</v>
      </c>
      <c r="F29" s="81">
        <f t="shared" si="0"/>
        <v>0</v>
      </c>
      <c r="G29" s="360" t="s">
        <v>12</v>
      </c>
    </row>
    <row r="30" spans="1:7" x14ac:dyDescent="0.25">
      <c r="A30" s="353">
        <v>26</v>
      </c>
      <c r="B30" s="10" t="s">
        <v>88</v>
      </c>
      <c r="C30" s="80">
        <v>111.82</v>
      </c>
      <c r="D30" s="16"/>
      <c r="E30" s="16">
        <v>29</v>
      </c>
      <c r="F30" s="81">
        <f t="shared" si="0"/>
        <v>3242.7799999999997</v>
      </c>
      <c r="G30" s="110"/>
    </row>
    <row r="31" spans="1:7" x14ac:dyDescent="0.25">
      <c r="A31" s="353">
        <v>27</v>
      </c>
      <c r="B31" s="10" t="s">
        <v>89</v>
      </c>
      <c r="C31" s="80"/>
      <c r="D31" s="16"/>
      <c r="E31" s="16">
        <v>14</v>
      </c>
      <c r="F31" s="81"/>
      <c r="G31" s="110"/>
    </row>
    <row r="32" spans="1:7" x14ac:dyDescent="0.25">
      <c r="A32" s="353">
        <v>28</v>
      </c>
      <c r="B32" s="9" t="s">
        <v>90</v>
      </c>
      <c r="C32" s="79">
        <f>'ESTOQUE SUL - RS'!C36</f>
        <v>39</v>
      </c>
      <c r="D32" s="16"/>
      <c r="E32" s="16">
        <v>24</v>
      </c>
      <c r="F32" s="81">
        <f t="shared" si="0"/>
        <v>936</v>
      </c>
      <c r="G32" s="110"/>
    </row>
    <row r="33" spans="1:7" x14ac:dyDescent="0.25">
      <c r="A33" s="353">
        <v>29</v>
      </c>
      <c r="B33" s="263" t="s">
        <v>48</v>
      </c>
      <c r="C33" s="112">
        <v>8.6300000000000008</v>
      </c>
      <c r="D33" s="16"/>
      <c r="E33" s="16">
        <v>50</v>
      </c>
      <c r="F33" s="81">
        <f t="shared" si="0"/>
        <v>431.50000000000006</v>
      </c>
      <c r="G33" s="110"/>
    </row>
    <row r="34" spans="1:7" x14ac:dyDescent="0.25">
      <c r="A34" s="353">
        <v>30</v>
      </c>
      <c r="B34" s="262" t="s">
        <v>91</v>
      </c>
      <c r="C34" s="112">
        <v>36.42</v>
      </c>
      <c r="D34" s="16"/>
      <c r="E34" s="16">
        <v>0</v>
      </c>
      <c r="F34" s="81">
        <f t="shared" si="0"/>
        <v>0</v>
      </c>
      <c r="G34" s="110"/>
    </row>
    <row r="35" spans="1:7" x14ac:dyDescent="0.25">
      <c r="A35" s="353">
        <v>31</v>
      </c>
      <c r="B35" s="9" t="s">
        <v>92</v>
      </c>
      <c r="C35" s="79">
        <v>30.66</v>
      </c>
      <c r="D35" s="16"/>
      <c r="E35" s="16">
        <v>7</v>
      </c>
      <c r="F35" s="81">
        <f t="shared" si="0"/>
        <v>214.62</v>
      </c>
      <c r="G35" s="110"/>
    </row>
    <row r="36" spans="1:7" x14ac:dyDescent="0.25">
      <c r="A36" s="353">
        <v>32</v>
      </c>
      <c r="B36" s="9" t="s">
        <v>93</v>
      </c>
      <c r="C36" s="79"/>
      <c r="D36" s="16"/>
      <c r="E36" s="16">
        <v>17</v>
      </c>
      <c r="F36" s="81"/>
      <c r="G36" s="110"/>
    </row>
    <row r="37" spans="1:7" x14ac:dyDescent="0.25">
      <c r="A37" s="353">
        <v>33</v>
      </c>
      <c r="B37" s="9" t="s">
        <v>94</v>
      </c>
      <c r="C37" s="79"/>
      <c r="D37" s="16"/>
      <c r="E37" s="16">
        <v>12</v>
      </c>
      <c r="F37" s="81"/>
      <c r="G37" s="110"/>
    </row>
    <row r="38" spans="1:7" x14ac:dyDescent="0.25">
      <c r="A38" s="353">
        <v>34</v>
      </c>
      <c r="B38" s="9" t="s">
        <v>95</v>
      </c>
      <c r="C38" s="79"/>
      <c r="D38" s="16"/>
      <c r="E38" s="16">
        <v>45</v>
      </c>
      <c r="F38" s="81"/>
      <c r="G38" s="110"/>
    </row>
    <row r="39" spans="1:7" x14ac:dyDescent="0.25">
      <c r="A39" s="353">
        <v>35</v>
      </c>
      <c r="B39" s="9" t="s">
        <v>96</v>
      </c>
      <c r="C39" s="79">
        <f>'ESTOQUE SUL - RS'!C39</f>
        <v>0</v>
      </c>
      <c r="D39" s="16"/>
      <c r="E39" s="16">
        <v>61</v>
      </c>
      <c r="F39" s="81">
        <f t="shared" si="0"/>
        <v>0</v>
      </c>
      <c r="G39" s="110"/>
    </row>
    <row r="40" spans="1:7" x14ac:dyDescent="0.25">
      <c r="A40" s="353">
        <v>36</v>
      </c>
      <c r="B40" s="10" t="s">
        <v>97</v>
      </c>
      <c r="C40" s="80">
        <v>383</v>
      </c>
      <c r="D40" s="16"/>
      <c r="E40" s="16">
        <v>0</v>
      </c>
      <c r="F40" s="81">
        <f t="shared" si="0"/>
        <v>0</v>
      </c>
      <c r="G40" s="110"/>
    </row>
    <row r="41" spans="1:7" x14ac:dyDescent="0.25">
      <c r="A41" s="353">
        <v>37</v>
      </c>
      <c r="B41" s="10" t="s">
        <v>63</v>
      </c>
      <c r="C41" s="80">
        <f>'ESTOQUE SUL - RS'!C53</f>
        <v>31.55</v>
      </c>
      <c r="D41" s="16"/>
      <c r="E41" s="16">
        <v>36</v>
      </c>
      <c r="F41" s="81">
        <f t="shared" si="0"/>
        <v>1135.8</v>
      </c>
      <c r="G41" s="110"/>
    </row>
    <row r="42" spans="1:7" x14ac:dyDescent="0.25">
      <c r="A42" s="353">
        <v>38</v>
      </c>
      <c r="B42" s="9" t="s">
        <v>64</v>
      </c>
      <c r="C42" s="79">
        <f>'ESTOQUE SUL - RS'!C54</f>
        <v>32.549999999999997</v>
      </c>
      <c r="D42" s="16"/>
      <c r="E42" s="16">
        <v>83</v>
      </c>
      <c r="F42" s="81">
        <f t="shared" si="0"/>
        <v>2701.6499999999996</v>
      </c>
      <c r="G42" s="110"/>
    </row>
    <row r="43" spans="1:7" x14ac:dyDescent="0.25">
      <c r="A43" s="353">
        <v>39</v>
      </c>
      <c r="B43" s="10" t="s">
        <v>98</v>
      </c>
      <c r="C43" s="80">
        <f>'ESTOQUE - SPO'!D73</f>
        <v>0</v>
      </c>
      <c r="D43" s="16"/>
      <c r="E43" s="16">
        <v>28</v>
      </c>
      <c r="F43" s="81">
        <f t="shared" si="0"/>
        <v>0</v>
      </c>
      <c r="G43" s="110"/>
    </row>
    <row r="44" spans="1:7" x14ac:dyDescent="0.25">
      <c r="A44" s="353">
        <v>40</v>
      </c>
      <c r="B44" s="10" t="s">
        <v>99</v>
      </c>
      <c r="C44" s="359">
        <f>'ESTOQUE - SPO'!D72</f>
        <v>0</v>
      </c>
      <c r="D44" s="16"/>
      <c r="E44" s="16">
        <v>0</v>
      </c>
      <c r="F44" s="81">
        <f t="shared" si="0"/>
        <v>0</v>
      </c>
      <c r="G44" s="110"/>
    </row>
    <row r="45" spans="1:7" x14ac:dyDescent="0.25">
      <c r="A45" s="366">
        <v>41</v>
      </c>
      <c r="B45" s="358" t="s">
        <v>100</v>
      </c>
      <c r="C45" s="367"/>
      <c r="D45" s="368"/>
      <c r="E45" s="369">
        <v>14</v>
      </c>
      <c r="F45" s="193"/>
      <c r="G45" s="110"/>
    </row>
    <row r="46" spans="1:7" x14ac:dyDescent="0.25">
      <c r="A46" s="16">
        <v>42</v>
      </c>
      <c r="B46" s="169" t="s">
        <v>101</v>
      </c>
      <c r="C46" s="124">
        <v>24.55</v>
      </c>
      <c r="D46" s="16"/>
      <c r="E46" s="16">
        <v>120</v>
      </c>
      <c r="F46" s="81">
        <f t="shared" si="0"/>
        <v>2946</v>
      </c>
      <c r="G46" s="365"/>
    </row>
    <row r="47" spans="1:7" x14ac:dyDescent="0.25">
      <c r="A47" s="16">
        <v>43</v>
      </c>
      <c r="B47" s="169" t="s">
        <v>102</v>
      </c>
      <c r="C47" s="124"/>
      <c r="D47" s="16"/>
      <c r="E47" s="16">
        <v>19</v>
      </c>
      <c r="F47" s="81"/>
      <c r="G47" s="365"/>
    </row>
    <row r="48" spans="1:7" x14ac:dyDescent="0.25">
      <c r="A48" s="16">
        <v>44</v>
      </c>
      <c r="B48" s="11" t="s">
        <v>69</v>
      </c>
      <c r="C48" s="78">
        <f>'ESTOQUE SUL - RS'!C58</f>
        <v>0</v>
      </c>
      <c r="D48" s="16"/>
      <c r="E48" s="16">
        <v>14</v>
      </c>
      <c r="F48" s="81">
        <f t="shared" si="0"/>
        <v>0</v>
      </c>
      <c r="G48" s="365"/>
    </row>
    <row r="49" spans="1:9" x14ac:dyDescent="0.25">
      <c r="A49" s="16">
        <v>45</v>
      </c>
      <c r="B49" s="11" t="s">
        <v>70</v>
      </c>
      <c r="C49" s="78">
        <f>'ESTOQUE SUL - RS'!C60</f>
        <v>24.55</v>
      </c>
      <c r="D49" s="16"/>
      <c r="E49" s="16">
        <v>52</v>
      </c>
      <c r="F49" s="81">
        <f t="shared" si="0"/>
        <v>1276.6000000000001</v>
      </c>
      <c r="G49" s="365"/>
    </row>
    <row r="50" spans="1:9" x14ac:dyDescent="0.25">
      <c r="A50" s="370">
        <v>46</v>
      </c>
      <c r="B50" s="94" t="s">
        <v>71</v>
      </c>
      <c r="C50" s="371">
        <f>'ESTOQUE - SPO'!D94</f>
        <v>311.64999999999998</v>
      </c>
      <c r="D50" s="372"/>
      <c r="E50" s="394">
        <v>36</v>
      </c>
      <c r="F50" s="373">
        <f t="shared" si="0"/>
        <v>11219.4</v>
      </c>
      <c r="G50" s="365"/>
    </row>
    <row r="51" spans="1:9" x14ac:dyDescent="0.25">
      <c r="A51" s="353">
        <v>47</v>
      </c>
      <c r="B51" s="11" t="s">
        <v>103</v>
      </c>
      <c r="C51" s="78"/>
      <c r="D51" s="16"/>
      <c r="E51" s="16">
        <v>72</v>
      </c>
      <c r="F51" s="81"/>
      <c r="G51" s="110"/>
    </row>
    <row r="52" spans="1:9" x14ac:dyDescent="0.25">
      <c r="A52" s="353">
        <v>48</v>
      </c>
      <c r="B52" s="11" t="s">
        <v>73</v>
      </c>
      <c r="C52" s="78">
        <f>'ESTOQUE SUL - RS'!C62</f>
        <v>0</v>
      </c>
      <c r="D52" s="16"/>
      <c r="E52" s="16">
        <v>31</v>
      </c>
      <c r="F52" s="81">
        <f t="shared" si="0"/>
        <v>0</v>
      </c>
      <c r="G52" s="110"/>
    </row>
    <row r="53" spans="1:9" x14ac:dyDescent="0.25">
      <c r="A53" s="354"/>
      <c r="B53" s="355"/>
      <c r="C53" s="256"/>
      <c r="D53" s="356"/>
      <c r="E53" s="258"/>
      <c r="F53" s="259">
        <f>SUM(F5:F52)</f>
        <v>49303.939999999995</v>
      </c>
      <c r="G53" s="260"/>
      <c r="I53" s="104"/>
    </row>
    <row r="54" spans="1:9" x14ac:dyDescent="0.25">
      <c r="A54" s="459"/>
      <c r="B54" s="460"/>
      <c r="C54" s="460"/>
      <c r="D54" s="460"/>
      <c r="E54" s="460"/>
      <c r="F54" s="460"/>
      <c r="G54" s="461"/>
      <c r="I54" s="104"/>
    </row>
    <row r="55" spans="1:9" x14ac:dyDescent="0.25">
      <c r="A55" s="462"/>
      <c r="B55" s="463"/>
      <c r="C55" s="463"/>
      <c r="D55" s="463"/>
      <c r="E55" s="463"/>
      <c r="F55" s="463"/>
      <c r="G55" s="464"/>
      <c r="I55" s="104"/>
    </row>
    <row r="56" spans="1:9" ht="11.25" customHeight="1" x14ac:dyDescent="0.25">
      <c r="A56" s="120" t="s">
        <v>3</v>
      </c>
      <c r="B56" s="120" t="s">
        <v>4</v>
      </c>
      <c r="C56" s="120" t="s">
        <v>5</v>
      </c>
      <c r="D56" s="118" t="s">
        <v>6</v>
      </c>
      <c r="E56" s="118" t="s">
        <v>7</v>
      </c>
      <c r="F56" s="118" t="s">
        <v>8</v>
      </c>
      <c r="G56" s="118" t="s">
        <v>9</v>
      </c>
      <c r="I56" s="104"/>
    </row>
    <row r="57" spans="1:9" ht="15.75" customHeight="1" x14ac:dyDescent="0.25">
      <c r="A57" s="449" t="s">
        <v>75</v>
      </c>
      <c r="B57" s="449"/>
      <c r="C57" s="449"/>
      <c r="D57" s="449"/>
      <c r="E57" s="449"/>
      <c r="F57" s="449"/>
      <c r="G57" s="449"/>
    </row>
    <row r="58" spans="1:9" ht="15.75" customHeight="1" x14ac:dyDescent="0.25">
      <c r="A58" s="5">
        <v>1</v>
      </c>
      <c r="B58" s="11" t="s">
        <v>76</v>
      </c>
      <c r="C58" s="124">
        <v>143.56</v>
      </c>
      <c r="D58" s="5" t="s">
        <v>11</v>
      </c>
      <c r="E58" s="107">
        <v>0</v>
      </c>
      <c r="F58" s="180">
        <f>C58*E58</f>
        <v>0</v>
      </c>
      <c r="G58" s="6"/>
    </row>
    <row r="59" spans="1:9" ht="15.75" customHeight="1" x14ac:dyDescent="0.25">
      <c r="A59" s="5">
        <v>2</v>
      </c>
      <c r="B59" s="11" t="s">
        <v>77</v>
      </c>
      <c r="C59" s="124">
        <v>65</v>
      </c>
      <c r="D59" s="5" t="s">
        <v>11</v>
      </c>
      <c r="E59" s="107">
        <v>0</v>
      </c>
      <c r="F59" s="180">
        <f t="shared" ref="F59:F61" si="1">C59*E59</f>
        <v>0</v>
      </c>
      <c r="G59" s="6"/>
    </row>
    <row r="60" spans="1:9" ht="15.75" customHeight="1" x14ac:dyDescent="0.25">
      <c r="A60" s="5">
        <v>3</v>
      </c>
      <c r="B60" s="11" t="s">
        <v>78</v>
      </c>
      <c r="C60" s="124">
        <v>44</v>
      </c>
      <c r="D60" s="5" t="s">
        <v>11</v>
      </c>
      <c r="E60" s="107">
        <v>0</v>
      </c>
      <c r="F60" s="180">
        <f t="shared" si="1"/>
        <v>0</v>
      </c>
      <c r="G60" s="6"/>
    </row>
    <row r="61" spans="1:9" ht="15.75" customHeight="1" x14ac:dyDescent="0.25">
      <c r="A61" s="5">
        <v>4</v>
      </c>
      <c r="B61" s="11" t="s">
        <v>79</v>
      </c>
      <c r="C61" s="124">
        <v>98.7</v>
      </c>
      <c r="D61" s="5" t="s">
        <v>11</v>
      </c>
      <c r="E61" s="107">
        <v>0</v>
      </c>
      <c r="F61" s="180">
        <f t="shared" si="1"/>
        <v>0</v>
      </c>
      <c r="G61" s="6"/>
    </row>
    <row r="62" spans="1:9" ht="15.75" customHeight="1" x14ac:dyDescent="0.25">
      <c r="A62" s="449" t="s">
        <v>80</v>
      </c>
      <c r="B62" s="449"/>
      <c r="C62" s="449"/>
      <c r="D62" s="449"/>
      <c r="E62" s="449"/>
      <c r="F62" s="449"/>
      <c r="G62" s="449"/>
    </row>
    <row r="63" spans="1:9" ht="15.75" customHeight="1" x14ac:dyDescent="0.25">
      <c r="A63" s="5">
        <v>1</v>
      </c>
      <c r="B63" s="11" t="s">
        <v>76</v>
      </c>
      <c r="C63" s="124">
        <v>143.56</v>
      </c>
      <c r="D63" s="5" t="s">
        <v>11</v>
      </c>
      <c r="E63" s="107">
        <v>15</v>
      </c>
      <c r="F63" s="180">
        <f>C63*E63</f>
        <v>2153.4</v>
      </c>
      <c r="G63" s="6"/>
    </row>
    <row r="64" spans="1:9" ht="15.75" customHeight="1" x14ac:dyDescent="0.25">
      <c r="A64" s="5">
        <v>2</v>
      </c>
      <c r="B64" s="11" t="s">
        <v>77</v>
      </c>
      <c r="C64" s="124">
        <v>65</v>
      </c>
      <c r="D64" s="5" t="s">
        <v>11</v>
      </c>
      <c r="E64" s="107">
        <f>35-10</f>
        <v>25</v>
      </c>
      <c r="F64" s="180">
        <f t="shared" ref="F64:F66" si="2">C64*E64</f>
        <v>1625</v>
      </c>
      <c r="G64" s="6"/>
    </row>
    <row r="65" spans="1:7" ht="15.75" customHeight="1" x14ac:dyDescent="0.25">
      <c r="A65" s="5">
        <v>3</v>
      </c>
      <c r="B65" s="11" t="s">
        <v>78</v>
      </c>
      <c r="C65" s="124">
        <v>44</v>
      </c>
      <c r="D65" s="5" t="s">
        <v>11</v>
      </c>
      <c r="E65" s="107">
        <v>16</v>
      </c>
      <c r="F65" s="180">
        <f t="shared" si="2"/>
        <v>704</v>
      </c>
      <c r="G65" s="6"/>
    </row>
    <row r="66" spans="1:7" ht="15.75" customHeight="1" x14ac:dyDescent="0.25">
      <c r="A66" s="5">
        <v>4</v>
      </c>
      <c r="B66" s="11" t="s">
        <v>79</v>
      </c>
      <c r="C66" s="124">
        <v>98.7</v>
      </c>
      <c r="D66" s="5" t="s">
        <v>11</v>
      </c>
      <c r="E66" s="107">
        <v>18</v>
      </c>
      <c r="F66" s="180">
        <f t="shared" si="2"/>
        <v>1776.6000000000001</v>
      </c>
      <c r="G66" s="6"/>
    </row>
    <row r="67" spans="1:7" x14ac:dyDescent="0.25">
      <c r="A67" s="84"/>
      <c r="B67" s="108"/>
      <c r="C67" s="83"/>
      <c r="D67" s="84"/>
      <c r="E67" s="122"/>
      <c r="F67" s="119" cm="1">
        <f t="array" ref="F67">SUM(F58:F61+F63:F66)</f>
        <v>6259</v>
      </c>
      <c r="G67" s="123"/>
    </row>
  </sheetData>
  <autoFilter ref="A4:G4" xr:uid="{595041D8-C986-4C7D-B69C-25BB7215B242}">
    <sortState xmlns:xlrd2="http://schemas.microsoft.com/office/spreadsheetml/2017/richdata2" ref="A5:G44">
      <sortCondition ref="B4"/>
    </sortState>
  </autoFilter>
  <sortState xmlns:xlrd2="http://schemas.microsoft.com/office/spreadsheetml/2017/richdata2" ref="D28:D41">
    <sortCondition ref="D28:D41"/>
  </sortState>
  <mergeCells count="7">
    <mergeCell ref="A1:G1"/>
    <mergeCell ref="A2:G2"/>
    <mergeCell ref="A3:G3"/>
    <mergeCell ref="A57:G57"/>
    <mergeCell ref="A62:G62"/>
    <mergeCell ref="A54:G54"/>
    <mergeCell ref="A55:G55"/>
  </mergeCells>
  <pageMargins left="0.7" right="0.7" top="0.75" bottom="0.75" header="0.3" footer="0.3"/>
  <pageSetup paperSize="9"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5B73-1158-473B-8ECE-8A8F234BB57E}">
  <sheetPr>
    <tabColor rgb="FF833C0C"/>
  </sheetPr>
  <dimension ref="A1:J130"/>
  <sheetViews>
    <sheetView topLeftCell="A62" workbookViewId="0">
      <selection activeCell="H67" sqref="H67"/>
    </sheetView>
  </sheetViews>
  <sheetFormatPr defaultColWidth="9.140625" defaultRowHeight="15" x14ac:dyDescent="0.25"/>
  <cols>
    <col min="1" max="1" width="6.42578125" customWidth="1"/>
    <col min="2" max="2" width="50.28515625" customWidth="1"/>
    <col min="3" max="3" width="8.42578125" style="1" customWidth="1"/>
    <col min="4" max="4" width="11.7109375" style="1" customWidth="1"/>
    <col min="5" max="5" width="13" style="1" customWidth="1"/>
    <col min="6" max="6" width="14.7109375" style="393" customWidth="1"/>
    <col min="7" max="7" width="16" customWidth="1"/>
    <col min="8" max="9" width="13.140625" customWidth="1"/>
    <col min="10" max="10" width="16.42578125" customWidth="1"/>
  </cols>
  <sheetData>
    <row r="1" spans="1:10" ht="20.25" customHeight="1" x14ac:dyDescent="0.25">
      <c r="A1" s="477" t="s">
        <v>104</v>
      </c>
      <c r="B1" s="478"/>
      <c r="C1" s="478"/>
      <c r="D1" s="478"/>
      <c r="E1" s="478"/>
      <c r="F1" s="478"/>
      <c r="G1" s="478"/>
      <c r="H1" s="478"/>
      <c r="I1" s="478"/>
      <c r="J1" s="478"/>
    </row>
    <row r="2" spans="1:10" ht="20.25" customHeight="1" x14ac:dyDescent="0.25">
      <c r="A2" s="477" t="s">
        <v>105</v>
      </c>
      <c r="B2" s="478"/>
      <c r="C2" s="478"/>
      <c r="D2" s="478"/>
      <c r="E2" s="478"/>
      <c r="F2" s="478"/>
      <c r="G2" s="478"/>
      <c r="H2" s="478"/>
      <c r="I2" s="478"/>
      <c r="J2" s="478"/>
    </row>
    <row r="3" spans="1:10" ht="20.25" customHeight="1" x14ac:dyDescent="0.25">
      <c r="A3" s="479" t="s">
        <v>106</v>
      </c>
      <c r="B3" s="480"/>
      <c r="C3" s="480"/>
      <c r="D3" s="480"/>
      <c r="E3" s="480"/>
      <c r="F3" s="480"/>
      <c r="G3" s="480"/>
      <c r="H3" s="480"/>
      <c r="I3" s="480"/>
      <c r="J3" s="480"/>
    </row>
    <row r="4" spans="1:10" ht="15.75" customHeight="1" x14ac:dyDescent="0.25">
      <c r="A4" s="126" t="s">
        <v>3</v>
      </c>
      <c r="B4" s="126" t="s">
        <v>4</v>
      </c>
      <c r="C4" s="127" t="s">
        <v>6</v>
      </c>
      <c r="D4" s="244" t="s">
        <v>107</v>
      </c>
      <c r="E4" s="31" t="s">
        <v>108</v>
      </c>
      <c r="F4" s="391" t="s">
        <v>109</v>
      </c>
      <c r="G4" s="59" t="s">
        <v>110</v>
      </c>
      <c r="H4" s="395" t="s">
        <v>111</v>
      </c>
      <c r="I4" s="417" t="s">
        <v>112</v>
      </c>
      <c r="J4" s="242" t="s">
        <v>113</v>
      </c>
    </row>
    <row r="5" spans="1:10" ht="15.75" customHeight="1" x14ac:dyDescent="0.25">
      <c r="A5" s="483" t="s">
        <v>114</v>
      </c>
      <c r="B5" s="484"/>
      <c r="C5" s="484"/>
      <c r="D5" s="485"/>
      <c r="E5" s="31" t="s">
        <v>115</v>
      </c>
      <c r="F5" s="423" t="s">
        <v>116</v>
      </c>
      <c r="G5" s="59">
        <v>46192</v>
      </c>
      <c r="H5" s="395">
        <v>46191</v>
      </c>
      <c r="I5" s="417"/>
      <c r="J5" s="242" t="s">
        <v>117</v>
      </c>
    </row>
    <row r="6" spans="1:10" ht="15" customHeight="1" x14ac:dyDescent="0.25">
      <c r="A6" s="5">
        <v>1</v>
      </c>
      <c r="B6" s="11" t="s">
        <v>10</v>
      </c>
      <c r="C6" s="5" t="s">
        <v>118</v>
      </c>
      <c r="D6" s="245">
        <v>126.1</v>
      </c>
      <c r="E6" s="26">
        <v>269</v>
      </c>
      <c r="F6" s="436">
        <v>46</v>
      </c>
      <c r="G6" s="415">
        <v>41</v>
      </c>
      <c r="H6" s="396">
        <v>45</v>
      </c>
      <c r="I6" s="418">
        <v>8</v>
      </c>
      <c r="J6" s="427">
        <v>0</v>
      </c>
    </row>
    <row r="7" spans="1:10" ht="15" customHeight="1" x14ac:dyDescent="0.25">
      <c r="A7" s="5">
        <v>2</v>
      </c>
      <c r="B7" s="11" t="s">
        <v>119</v>
      </c>
      <c r="C7" s="5" t="s">
        <v>118</v>
      </c>
      <c r="D7" s="245">
        <v>22.19</v>
      </c>
      <c r="E7" s="26">
        <v>99</v>
      </c>
      <c r="F7" s="436">
        <v>43</v>
      </c>
      <c r="G7" s="415">
        <v>183</v>
      </c>
      <c r="H7" s="396">
        <v>63</v>
      </c>
      <c r="I7" s="418">
        <v>14</v>
      </c>
      <c r="J7" s="419">
        <v>8</v>
      </c>
    </row>
    <row r="8" spans="1:10" ht="15" customHeight="1" x14ac:dyDescent="0.25">
      <c r="A8" s="5">
        <v>3</v>
      </c>
      <c r="B8" s="11" t="s">
        <v>120</v>
      </c>
      <c r="C8" s="5" t="s">
        <v>118</v>
      </c>
      <c r="D8" s="245">
        <v>0</v>
      </c>
      <c r="E8" s="26">
        <v>26</v>
      </c>
      <c r="F8" s="437">
        <v>0</v>
      </c>
      <c r="G8" s="424">
        <v>0</v>
      </c>
      <c r="H8" s="422">
        <v>0</v>
      </c>
      <c r="I8" s="418">
        <v>0</v>
      </c>
      <c r="J8" s="427">
        <v>0</v>
      </c>
    </row>
    <row r="9" spans="1:10" ht="15" customHeight="1" x14ac:dyDescent="0.25">
      <c r="A9" s="5">
        <v>4</v>
      </c>
      <c r="B9" s="11" t="s">
        <v>121</v>
      </c>
      <c r="C9" s="5">
        <v>38</v>
      </c>
      <c r="D9" s="245">
        <v>0</v>
      </c>
      <c r="E9" s="374">
        <v>8</v>
      </c>
      <c r="F9" s="437">
        <v>0</v>
      </c>
      <c r="G9" s="424">
        <v>0</v>
      </c>
      <c r="H9" s="422">
        <v>0</v>
      </c>
      <c r="I9" s="418">
        <v>0</v>
      </c>
      <c r="J9" s="427">
        <v>0</v>
      </c>
    </row>
    <row r="10" spans="1:10" ht="15" customHeight="1" x14ac:dyDescent="0.25">
      <c r="A10" s="5">
        <v>5</v>
      </c>
      <c r="B10" s="11" t="s">
        <v>121</v>
      </c>
      <c r="C10" s="5">
        <v>39</v>
      </c>
      <c r="D10" s="245">
        <v>0</v>
      </c>
      <c r="E10" s="374">
        <v>17</v>
      </c>
      <c r="F10" s="437">
        <v>0</v>
      </c>
      <c r="G10" s="424">
        <v>0</v>
      </c>
      <c r="H10" s="422">
        <v>0</v>
      </c>
      <c r="I10" s="418">
        <v>0</v>
      </c>
      <c r="J10" s="427">
        <v>0</v>
      </c>
    </row>
    <row r="11" spans="1:10" ht="15" customHeight="1" x14ac:dyDescent="0.25">
      <c r="A11" s="5">
        <v>6</v>
      </c>
      <c r="B11" s="11" t="s">
        <v>121</v>
      </c>
      <c r="C11" s="5">
        <v>40</v>
      </c>
      <c r="D11" s="245">
        <v>0</v>
      </c>
      <c r="E11" s="374">
        <v>2</v>
      </c>
      <c r="F11" s="437">
        <v>0</v>
      </c>
      <c r="G11" s="424">
        <v>0</v>
      </c>
      <c r="H11" s="422">
        <v>0</v>
      </c>
      <c r="I11" s="418">
        <v>0</v>
      </c>
      <c r="J11" s="427">
        <v>0</v>
      </c>
    </row>
    <row r="12" spans="1:10" ht="15" customHeight="1" x14ac:dyDescent="0.25">
      <c r="A12" s="5">
        <v>7</v>
      </c>
      <c r="B12" s="11" t="s">
        <v>121</v>
      </c>
      <c r="C12" s="5">
        <v>41</v>
      </c>
      <c r="D12" s="245">
        <v>0</v>
      </c>
      <c r="E12" s="374">
        <v>5</v>
      </c>
      <c r="F12" s="437">
        <v>0</v>
      </c>
      <c r="G12" s="424">
        <v>0</v>
      </c>
      <c r="H12" s="396">
        <v>1</v>
      </c>
      <c r="I12" s="418">
        <v>0</v>
      </c>
      <c r="J12" s="427">
        <v>0</v>
      </c>
    </row>
    <row r="13" spans="1:10" ht="15" customHeight="1" x14ac:dyDescent="0.25">
      <c r="A13" s="5">
        <v>8</v>
      </c>
      <c r="B13" s="11" t="s">
        <v>121</v>
      </c>
      <c r="C13" s="5">
        <v>42</v>
      </c>
      <c r="D13" s="245">
        <v>0</v>
      </c>
      <c r="E13" s="374">
        <v>6</v>
      </c>
      <c r="F13" s="437">
        <v>0</v>
      </c>
      <c r="G13" s="424">
        <v>0</v>
      </c>
      <c r="H13" s="422">
        <v>0</v>
      </c>
      <c r="I13" s="418">
        <v>0</v>
      </c>
      <c r="J13" s="427">
        <v>0</v>
      </c>
    </row>
    <row r="14" spans="1:10" ht="15" customHeight="1" x14ac:dyDescent="0.25">
      <c r="A14" s="5">
        <v>9</v>
      </c>
      <c r="B14" s="11" t="s">
        <v>121</v>
      </c>
      <c r="C14" s="5">
        <v>43</v>
      </c>
      <c r="D14" s="245">
        <v>0</v>
      </c>
      <c r="E14" s="374">
        <v>4</v>
      </c>
      <c r="F14" s="437">
        <v>0</v>
      </c>
      <c r="G14" s="424">
        <v>0</v>
      </c>
      <c r="H14" s="422">
        <v>0</v>
      </c>
      <c r="I14" s="418">
        <v>0</v>
      </c>
      <c r="J14" s="427">
        <v>0</v>
      </c>
    </row>
    <row r="15" spans="1:10" ht="15" customHeight="1" x14ac:dyDescent="0.25">
      <c r="A15" s="5">
        <v>10</v>
      </c>
      <c r="B15" s="11" t="s">
        <v>121</v>
      </c>
      <c r="C15" s="5">
        <v>44</v>
      </c>
      <c r="D15" s="245">
        <v>0</v>
      </c>
      <c r="E15" s="374">
        <v>2</v>
      </c>
      <c r="F15" s="437">
        <v>0</v>
      </c>
      <c r="G15" s="424">
        <v>0</v>
      </c>
      <c r="H15" s="422">
        <v>0</v>
      </c>
      <c r="I15" s="418">
        <v>0</v>
      </c>
      <c r="J15" s="427">
        <v>0</v>
      </c>
    </row>
    <row r="16" spans="1:10" ht="15" customHeight="1" x14ac:dyDescent="0.25">
      <c r="A16" s="5">
        <v>11</v>
      </c>
      <c r="B16" s="3" t="s">
        <v>86</v>
      </c>
      <c r="C16" s="20">
        <v>33</v>
      </c>
      <c r="D16" s="245">
        <v>104.29</v>
      </c>
      <c r="E16" s="26">
        <v>37</v>
      </c>
      <c r="F16" s="437">
        <v>0</v>
      </c>
      <c r="G16" s="424">
        <v>0</v>
      </c>
      <c r="H16" s="422">
        <v>0</v>
      </c>
      <c r="I16" s="418">
        <v>0</v>
      </c>
      <c r="J16" s="419">
        <v>2</v>
      </c>
    </row>
    <row r="17" spans="1:10" ht="15" customHeight="1" x14ac:dyDescent="0.25">
      <c r="A17" s="5">
        <v>12</v>
      </c>
      <c r="B17" s="3" t="s">
        <v>86</v>
      </c>
      <c r="C17" s="20">
        <v>34</v>
      </c>
      <c r="D17" s="245">
        <v>104.29</v>
      </c>
      <c r="E17" s="26">
        <v>36</v>
      </c>
      <c r="F17" s="437">
        <v>0</v>
      </c>
      <c r="G17" s="424">
        <v>0</v>
      </c>
      <c r="H17" s="396">
        <v>1</v>
      </c>
      <c r="I17" s="418">
        <v>0</v>
      </c>
      <c r="J17" s="419">
        <v>1</v>
      </c>
    </row>
    <row r="18" spans="1:10" ht="15" customHeight="1" x14ac:dyDescent="0.25">
      <c r="A18" s="5">
        <v>13</v>
      </c>
      <c r="B18" s="3" t="s">
        <v>86</v>
      </c>
      <c r="C18" s="20">
        <v>35</v>
      </c>
      <c r="D18" s="245">
        <v>104.29</v>
      </c>
      <c r="E18" s="375">
        <v>37</v>
      </c>
      <c r="F18" s="437">
        <v>0</v>
      </c>
      <c r="G18" s="415">
        <v>5</v>
      </c>
      <c r="H18" s="396">
        <v>21</v>
      </c>
      <c r="I18" s="418">
        <v>0</v>
      </c>
      <c r="J18" s="419">
        <v>14</v>
      </c>
    </row>
    <row r="19" spans="1:10" ht="15" customHeight="1" x14ac:dyDescent="0.25">
      <c r="A19" s="5">
        <v>14</v>
      </c>
      <c r="B19" s="3" t="s">
        <v>86</v>
      </c>
      <c r="C19" s="20">
        <v>36</v>
      </c>
      <c r="D19" s="245">
        <v>104.29</v>
      </c>
      <c r="E19" s="375">
        <v>21</v>
      </c>
      <c r="F19" s="437">
        <v>0</v>
      </c>
      <c r="G19" s="415">
        <v>2</v>
      </c>
      <c r="H19" s="396">
        <v>20</v>
      </c>
      <c r="I19" s="418">
        <v>1</v>
      </c>
      <c r="J19" s="419">
        <v>16</v>
      </c>
    </row>
    <row r="20" spans="1:10" ht="15" customHeight="1" x14ac:dyDescent="0.25">
      <c r="A20" s="5">
        <v>15</v>
      </c>
      <c r="B20" s="3" t="s">
        <v>86</v>
      </c>
      <c r="C20" s="20">
        <v>37</v>
      </c>
      <c r="D20" s="245">
        <v>104.29</v>
      </c>
      <c r="E20" s="375">
        <v>20</v>
      </c>
      <c r="F20" s="437">
        <v>0</v>
      </c>
      <c r="G20" s="415">
        <v>5</v>
      </c>
      <c r="H20" s="396">
        <v>9</v>
      </c>
      <c r="I20" s="418">
        <v>3</v>
      </c>
      <c r="J20" s="419">
        <v>18</v>
      </c>
    </row>
    <row r="21" spans="1:10" ht="15" customHeight="1" x14ac:dyDescent="0.25">
      <c r="A21" s="5">
        <v>16</v>
      </c>
      <c r="B21" s="3" t="s">
        <v>86</v>
      </c>
      <c r="C21" s="5">
        <v>38</v>
      </c>
      <c r="D21" s="245">
        <v>104.29</v>
      </c>
      <c r="E21" s="375">
        <v>30</v>
      </c>
      <c r="F21" s="438">
        <v>17</v>
      </c>
      <c r="G21" s="415">
        <v>1</v>
      </c>
      <c r="H21" s="396">
        <v>21</v>
      </c>
      <c r="I21" s="418">
        <v>2</v>
      </c>
      <c r="J21" s="419">
        <v>20</v>
      </c>
    </row>
    <row r="22" spans="1:10" ht="15" customHeight="1" x14ac:dyDescent="0.25">
      <c r="A22" s="5">
        <v>17</v>
      </c>
      <c r="B22" s="3" t="s">
        <v>86</v>
      </c>
      <c r="C22" s="21">
        <v>39</v>
      </c>
      <c r="D22" s="245">
        <v>104.29</v>
      </c>
      <c r="E22" s="375">
        <v>26</v>
      </c>
      <c r="F22" s="438">
        <v>20</v>
      </c>
      <c r="G22" s="415">
        <v>12</v>
      </c>
      <c r="H22" s="396">
        <v>7</v>
      </c>
      <c r="I22" s="418">
        <v>3</v>
      </c>
      <c r="J22" s="419">
        <v>20</v>
      </c>
    </row>
    <row r="23" spans="1:10" ht="15" customHeight="1" x14ac:dyDescent="0.25">
      <c r="A23" s="5">
        <v>18</v>
      </c>
      <c r="B23" s="3" t="s">
        <v>86</v>
      </c>
      <c r="C23" s="20">
        <v>40</v>
      </c>
      <c r="D23" s="245">
        <v>104.29</v>
      </c>
      <c r="E23" s="375">
        <v>80</v>
      </c>
      <c r="F23" s="438">
        <v>10</v>
      </c>
      <c r="G23" s="415">
        <v>11</v>
      </c>
      <c r="H23" s="396">
        <v>0</v>
      </c>
      <c r="I23" s="418">
        <v>4</v>
      </c>
      <c r="J23" s="419">
        <v>30</v>
      </c>
    </row>
    <row r="24" spans="1:10" ht="15" customHeight="1" x14ac:dyDescent="0.25">
      <c r="A24" s="5">
        <v>19</v>
      </c>
      <c r="B24" s="3" t="s">
        <v>86</v>
      </c>
      <c r="C24" s="21">
        <v>41</v>
      </c>
      <c r="D24" s="245">
        <v>104.29</v>
      </c>
      <c r="E24" s="375">
        <v>88</v>
      </c>
      <c r="F24" s="438">
        <v>30</v>
      </c>
      <c r="G24" s="416">
        <v>8</v>
      </c>
      <c r="H24" s="397">
        <v>37</v>
      </c>
      <c r="I24" s="418">
        <v>5</v>
      </c>
      <c r="J24" s="419">
        <v>35</v>
      </c>
    </row>
    <row r="25" spans="1:10" ht="15" customHeight="1" x14ac:dyDescent="0.25">
      <c r="A25" s="5">
        <v>20</v>
      </c>
      <c r="B25" s="3" t="s">
        <v>86</v>
      </c>
      <c r="C25" s="21">
        <v>42</v>
      </c>
      <c r="D25" s="245">
        <v>104.29</v>
      </c>
      <c r="E25" s="375">
        <v>85</v>
      </c>
      <c r="F25" s="438">
        <v>15</v>
      </c>
      <c r="G25" s="415">
        <v>8</v>
      </c>
      <c r="H25" s="396">
        <v>34</v>
      </c>
      <c r="I25" s="418">
        <v>1</v>
      </c>
      <c r="J25" s="419">
        <v>6</v>
      </c>
    </row>
    <row r="26" spans="1:10" ht="15" customHeight="1" x14ac:dyDescent="0.25">
      <c r="A26" s="5">
        <v>21</v>
      </c>
      <c r="B26" s="3" t="s">
        <v>86</v>
      </c>
      <c r="C26" s="21">
        <v>43</v>
      </c>
      <c r="D26" s="245">
        <v>104.29</v>
      </c>
      <c r="E26" s="375">
        <v>11</v>
      </c>
      <c r="F26" s="438">
        <v>20</v>
      </c>
      <c r="G26" s="415">
        <v>11</v>
      </c>
      <c r="H26" s="396">
        <v>5</v>
      </c>
      <c r="I26" s="418">
        <v>1</v>
      </c>
      <c r="J26" s="419">
        <v>6</v>
      </c>
    </row>
    <row r="27" spans="1:10" ht="15" customHeight="1" x14ac:dyDescent="0.25">
      <c r="A27" s="5">
        <v>22</v>
      </c>
      <c r="B27" s="3" t="s">
        <v>86</v>
      </c>
      <c r="C27" s="21">
        <v>44</v>
      </c>
      <c r="D27" s="245">
        <v>104.29</v>
      </c>
      <c r="E27" s="375">
        <v>31</v>
      </c>
      <c r="F27" s="438">
        <v>18</v>
      </c>
      <c r="G27" s="415">
        <v>2</v>
      </c>
      <c r="H27" s="396">
        <v>5</v>
      </c>
      <c r="I27" s="418">
        <v>1</v>
      </c>
      <c r="J27" s="419">
        <v>10</v>
      </c>
    </row>
    <row r="28" spans="1:10" ht="15" customHeight="1" x14ac:dyDescent="0.25">
      <c r="A28" s="5">
        <v>23</v>
      </c>
      <c r="B28" s="3" t="s">
        <v>86</v>
      </c>
      <c r="C28" s="21">
        <v>45</v>
      </c>
      <c r="D28" s="245">
        <v>104.29</v>
      </c>
      <c r="E28" s="375">
        <v>22</v>
      </c>
      <c r="F28" s="438">
        <v>20</v>
      </c>
      <c r="G28" s="415">
        <v>3</v>
      </c>
      <c r="H28" s="396">
        <v>16</v>
      </c>
      <c r="I28" s="418">
        <v>3</v>
      </c>
      <c r="J28" s="427">
        <v>0</v>
      </c>
    </row>
    <row r="29" spans="1:10" ht="15" customHeight="1" x14ac:dyDescent="0.25">
      <c r="A29" s="5">
        <v>24</v>
      </c>
      <c r="B29" s="3" t="s">
        <v>86</v>
      </c>
      <c r="C29" s="21">
        <v>46</v>
      </c>
      <c r="D29" s="245">
        <v>104.29</v>
      </c>
      <c r="E29" s="375">
        <v>43</v>
      </c>
      <c r="F29" s="437">
        <v>0</v>
      </c>
      <c r="G29" s="424">
        <v>0</v>
      </c>
      <c r="H29" s="396">
        <v>1</v>
      </c>
      <c r="I29" s="418">
        <v>0</v>
      </c>
      <c r="J29" s="427">
        <v>0</v>
      </c>
    </row>
    <row r="30" spans="1:10" ht="15" customHeight="1" x14ac:dyDescent="0.25">
      <c r="A30" s="5">
        <v>25</v>
      </c>
      <c r="B30" s="3" t="s">
        <v>86</v>
      </c>
      <c r="C30" s="21">
        <v>47</v>
      </c>
      <c r="D30" s="245">
        <v>104.29</v>
      </c>
      <c r="E30" s="375">
        <v>16</v>
      </c>
      <c r="F30" s="437">
        <v>0</v>
      </c>
      <c r="G30" s="424">
        <v>0</v>
      </c>
      <c r="H30" s="422">
        <v>0</v>
      </c>
      <c r="I30" s="418">
        <v>0</v>
      </c>
      <c r="J30" s="427">
        <v>0</v>
      </c>
    </row>
    <row r="31" spans="1:10" ht="15" customHeight="1" x14ac:dyDescent="0.25">
      <c r="A31" s="5">
        <v>26</v>
      </c>
      <c r="B31" s="3" t="s">
        <v>86</v>
      </c>
      <c r="C31" s="21">
        <v>48</v>
      </c>
      <c r="D31" s="245">
        <v>104.29</v>
      </c>
      <c r="E31" s="375">
        <v>12</v>
      </c>
      <c r="F31" s="437">
        <v>0</v>
      </c>
      <c r="G31" s="424">
        <v>0</v>
      </c>
      <c r="H31" s="422">
        <v>0</v>
      </c>
      <c r="I31" s="418">
        <v>0</v>
      </c>
      <c r="J31" s="427">
        <v>0</v>
      </c>
    </row>
    <row r="32" spans="1:10" ht="15" customHeight="1" x14ac:dyDescent="0.25">
      <c r="A32" s="5">
        <v>27</v>
      </c>
      <c r="B32" s="8" t="s">
        <v>87</v>
      </c>
      <c r="C32" s="21" t="s">
        <v>31</v>
      </c>
      <c r="D32" s="246">
        <v>40</v>
      </c>
      <c r="E32" s="26">
        <v>126</v>
      </c>
      <c r="F32" s="438">
        <v>20</v>
      </c>
      <c r="G32" s="415">
        <v>4</v>
      </c>
      <c r="H32" s="396">
        <v>10</v>
      </c>
      <c r="I32" s="418">
        <v>0</v>
      </c>
      <c r="J32" s="419">
        <v>40</v>
      </c>
    </row>
    <row r="33" spans="1:10" ht="15" customHeight="1" x14ac:dyDescent="0.25">
      <c r="A33" s="5">
        <v>28</v>
      </c>
      <c r="B33" s="8" t="s">
        <v>87</v>
      </c>
      <c r="C33" s="21" t="s">
        <v>28</v>
      </c>
      <c r="D33" s="246">
        <v>40</v>
      </c>
      <c r="E33" s="26">
        <v>91</v>
      </c>
      <c r="F33" s="438">
        <v>19</v>
      </c>
      <c r="G33" s="415">
        <v>10</v>
      </c>
      <c r="H33" s="396">
        <v>1</v>
      </c>
      <c r="I33" s="418">
        <v>0</v>
      </c>
      <c r="J33" s="419">
        <v>27</v>
      </c>
    </row>
    <row r="34" spans="1:10" ht="15" customHeight="1" x14ac:dyDescent="0.25">
      <c r="A34" s="5">
        <v>29</v>
      </c>
      <c r="B34" s="7" t="s">
        <v>87</v>
      </c>
      <c r="C34" s="5" t="s">
        <v>29</v>
      </c>
      <c r="D34" s="246">
        <v>40</v>
      </c>
      <c r="E34" s="26">
        <v>92</v>
      </c>
      <c r="F34" s="438">
        <v>17</v>
      </c>
      <c r="G34" s="415">
        <v>23</v>
      </c>
      <c r="H34" s="396">
        <v>0</v>
      </c>
      <c r="I34" s="418">
        <v>2</v>
      </c>
      <c r="J34" s="419">
        <v>11</v>
      </c>
    </row>
    <row r="35" spans="1:10" ht="15" customHeight="1" x14ac:dyDescent="0.25">
      <c r="A35" s="5">
        <v>30</v>
      </c>
      <c r="B35" s="8" t="s">
        <v>87</v>
      </c>
      <c r="C35" s="21" t="s">
        <v>32</v>
      </c>
      <c r="D35" s="246">
        <v>40</v>
      </c>
      <c r="E35" s="26">
        <v>166</v>
      </c>
      <c r="F35" s="438">
        <v>19</v>
      </c>
      <c r="G35" s="415">
        <v>5</v>
      </c>
      <c r="H35" s="396">
        <v>35</v>
      </c>
      <c r="I35" s="418">
        <v>2</v>
      </c>
      <c r="J35" s="419">
        <v>21</v>
      </c>
    </row>
    <row r="36" spans="1:10" x14ac:dyDescent="0.25">
      <c r="A36" s="5">
        <v>31</v>
      </c>
      <c r="B36" s="11" t="s">
        <v>122</v>
      </c>
      <c r="C36" s="5" t="s">
        <v>118</v>
      </c>
      <c r="D36" s="245">
        <v>75</v>
      </c>
      <c r="E36" s="26">
        <v>240</v>
      </c>
      <c r="F36" s="438">
        <v>30</v>
      </c>
      <c r="G36" s="415">
        <v>27</v>
      </c>
      <c r="H36" s="396">
        <v>8</v>
      </c>
      <c r="I36" s="418">
        <v>11</v>
      </c>
      <c r="J36" s="419">
        <v>33</v>
      </c>
    </row>
    <row r="37" spans="1:10" ht="15" customHeight="1" x14ac:dyDescent="0.25">
      <c r="A37" s="5">
        <v>32</v>
      </c>
      <c r="B37" s="11" t="s">
        <v>123</v>
      </c>
      <c r="C37" s="5" t="s">
        <v>118</v>
      </c>
      <c r="D37" s="245">
        <v>48.25</v>
      </c>
      <c r="E37" s="26">
        <v>129</v>
      </c>
      <c r="F37" s="438">
        <v>20</v>
      </c>
      <c r="G37" s="415">
        <v>19</v>
      </c>
      <c r="H37" s="396">
        <v>38</v>
      </c>
      <c r="I37" s="418">
        <v>1</v>
      </c>
      <c r="J37" s="419">
        <v>20</v>
      </c>
    </row>
    <row r="38" spans="1:10" ht="15" customHeight="1" x14ac:dyDescent="0.25">
      <c r="A38" s="5">
        <v>33</v>
      </c>
      <c r="B38" s="11" t="s">
        <v>124</v>
      </c>
      <c r="C38" s="5" t="s">
        <v>118</v>
      </c>
      <c r="D38" s="245">
        <v>0</v>
      </c>
      <c r="E38" s="26">
        <v>54</v>
      </c>
      <c r="F38" s="437">
        <v>0</v>
      </c>
      <c r="G38" s="424">
        <v>0</v>
      </c>
      <c r="H38" s="422">
        <v>0</v>
      </c>
      <c r="I38" s="418">
        <v>0</v>
      </c>
      <c r="J38" s="427">
        <v>0</v>
      </c>
    </row>
    <row r="39" spans="1:10" ht="15" customHeight="1" x14ac:dyDescent="0.25">
      <c r="A39" s="5">
        <v>34</v>
      </c>
      <c r="B39" s="9" t="s">
        <v>40</v>
      </c>
      <c r="C39" s="5" t="s">
        <v>118</v>
      </c>
      <c r="D39" s="245">
        <v>87.97</v>
      </c>
      <c r="E39" s="26">
        <v>64</v>
      </c>
      <c r="F39" s="438">
        <v>56</v>
      </c>
      <c r="G39" s="415">
        <v>74</v>
      </c>
      <c r="H39" s="396">
        <v>19</v>
      </c>
      <c r="I39" s="418">
        <v>0</v>
      </c>
      <c r="J39" s="419">
        <v>26</v>
      </c>
    </row>
    <row r="40" spans="1:10" x14ac:dyDescent="0.25">
      <c r="A40" s="5">
        <v>35</v>
      </c>
      <c r="B40" s="115" t="s">
        <v>125</v>
      </c>
      <c r="C40" s="5" t="s">
        <v>118</v>
      </c>
      <c r="D40" s="245">
        <v>584.20000000000005</v>
      </c>
      <c r="E40" s="26">
        <v>292</v>
      </c>
      <c r="F40" s="438">
        <v>25</v>
      </c>
      <c r="G40" s="415">
        <v>27</v>
      </c>
      <c r="H40" s="396">
        <v>90</v>
      </c>
      <c r="I40" s="418">
        <v>6</v>
      </c>
      <c r="J40" s="419">
        <v>8</v>
      </c>
    </row>
    <row r="41" spans="1:10" ht="14.25" customHeight="1" x14ac:dyDescent="0.25">
      <c r="A41" s="5">
        <v>36</v>
      </c>
      <c r="B41" s="115" t="s">
        <v>126</v>
      </c>
      <c r="C41" s="5" t="s">
        <v>118</v>
      </c>
      <c r="D41" s="245">
        <v>0</v>
      </c>
      <c r="E41" s="26">
        <v>12</v>
      </c>
      <c r="F41" s="437">
        <v>0</v>
      </c>
      <c r="G41" s="415">
        <v>0</v>
      </c>
      <c r="H41" s="422">
        <v>0</v>
      </c>
      <c r="I41" s="418">
        <v>0</v>
      </c>
      <c r="J41" s="427">
        <v>0</v>
      </c>
    </row>
    <row r="42" spans="1:10" ht="15" customHeight="1" x14ac:dyDescent="0.25">
      <c r="A42" s="5">
        <v>37</v>
      </c>
      <c r="B42" s="10" t="s">
        <v>42</v>
      </c>
      <c r="C42" s="5" t="s">
        <v>118</v>
      </c>
      <c r="D42" s="245">
        <v>21</v>
      </c>
      <c r="E42" s="26">
        <v>63</v>
      </c>
      <c r="F42" s="438">
        <v>15</v>
      </c>
      <c r="G42" s="415">
        <v>23</v>
      </c>
      <c r="H42" s="396">
        <v>16</v>
      </c>
      <c r="I42" s="418">
        <v>10</v>
      </c>
      <c r="J42" s="419">
        <v>11</v>
      </c>
    </row>
    <row r="43" spans="1:10" ht="15" customHeight="1" x14ac:dyDescent="0.25">
      <c r="A43" s="5">
        <v>38</v>
      </c>
      <c r="B43" s="7" t="s">
        <v>127</v>
      </c>
      <c r="C43" s="5" t="s">
        <v>118</v>
      </c>
      <c r="D43" s="247">
        <v>39</v>
      </c>
      <c r="E43" s="26">
        <v>740</v>
      </c>
      <c r="F43" s="438">
        <v>41</v>
      </c>
      <c r="G43" s="415">
        <v>86</v>
      </c>
      <c r="H43" s="396">
        <v>12</v>
      </c>
      <c r="I43" s="418">
        <v>12</v>
      </c>
      <c r="J43" s="419">
        <v>130</v>
      </c>
    </row>
    <row r="44" spans="1:10" ht="15" customHeight="1" x14ac:dyDescent="0.25">
      <c r="A44" s="5">
        <v>39</v>
      </c>
      <c r="B44" s="7" t="s">
        <v>128</v>
      </c>
      <c r="C44" s="5" t="s">
        <v>118</v>
      </c>
      <c r="D44" s="245">
        <v>0</v>
      </c>
      <c r="E44" s="26">
        <v>26</v>
      </c>
      <c r="F44" s="437">
        <v>0</v>
      </c>
      <c r="G44" s="424">
        <v>0</v>
      </c>
      <c r="H44" s="422">
        <v>0</v>
      </c>
      <c r="I44" s="418">
        <v>0</v>
      </c>
      <c r="J44" s="427">
        <v>0</v>
      </c>
    </row>
    <row r="45" spans="1:10" ht="15" customHeight="1" x14ac:dyDescent="0.25">
      <c r="A45" s="5">
        <v>40</v>
      </c>
      <c r="B45" s="7" t="s">
        <v>129</v>
      </c>
      <c r="C45" s="5" t="s">
        <v>118</v>
      </c>
      <c r="D45" s="245"/>
      <c r="E45" s="26">
        <v>70</v>
      </c>
      <c r="F45" s="438">
        <v>13</v>
      </c>
      <c r="G45" s="415">
        <v>44</v>
      </c>
      <c r="H45" s="396">
        <v>0</v>
      </c>
      <c r="I45" s="418">
        <v>0</v>
      </c>
      <c r="J45" s="419">
        <v>2</v>
      </c>
    </row>
    <row r="46" spans="1:10" ht="15" customHeight="1" x14ac:dyDescent="0.25">
      <c r="A46" s="5">
        <v>41</v>
      </c>
      <c r="B46" s="9" t="s">
        <v>130</v>
      </c>
      <c r="C46" s="5" t="s">
        <v>118</v>
      </c>
      <c r="D46" s="245">
        <v>28.94</v>
      </c>
      <c r="E46" s="26">
        <v>126</v>
      </c>
      <c r="F46" s="437">
        <v>0</v>
      </c>
      <c r="G46" s="415">
        <v>26</v>
      </c>
      <c r="H46" s="396">
        <v>3</v>
      </c>
      <c r="I46" s="418">
        <v>0</v>
      </c>
      <c r="J46" s="419">
        <v>11</v>
      </c>
    </row>
    <row r="47" spans="1:10" ht="15" customHeight="1" x14ac:dyDescent="0.25">
      <c r="A47" s="5">
        <v>42</v>
      </c>
      <c r="B47" s="9" t="s">
        <v>131</v>
      </c>
      <c r="C47" s="5" t="s">
        <v>118</v>
      </c>
      <c r="D47" s="245">
        <v>28.94</v>
      </c>
      <c r="E47" s="26">
        <v>16</v>
      </c>
      <c r="F47" s="438">
        <v>25</v>
      </c>
      <c r="G47" s="415">
        <v>2</v>
      </c>
      <c r="H47" s="396">
        <v>30</v>
      </c>
      <c r="I47" s="418">
        <v>8</v>
      </c>
      <c r="J47" s="427">
        <v>0</v>
      </c>
    </row>
    <row r="48" spans="1:10" ht="15" customHeight="1" x14ac:dyDescent="0.25">
      <c r="A48" s="5">
        <v>43</v>
      </c>
      <c r="B48" s="74" t="s">
        <v>48</v>
      </c>
      <c r="C48" s="5" t="s">
        <v>118</v>
      </c>
      <c r="D48" s="245">
        <v>8.6300000000000008</v>
      </c>
      <c r="E48" s="26">
        <v>40</v>
      </c>
      <c r="F48" s="437">
        <v>0</v>
      </c>
      <c r="G48" s="415">
        <v>38</v>
      </c>
      <c r="H48" s="442">
        <v>12</v>
      </c>
      <c r="I48" s="418">
        <v>0</v>
      </c>
      <c r="J48" s="419">
        <v>69</v>
      </c>
    </row>
    <row r="49" spans="1:10" ht="15" customHeight="1" x14ac:dyDescent="0.25">
      <c r="A49" s="5">
        <v>44</v>
      </c>
      <c r="B49" s="74" t="s">
        <v>132</v>
      </c>
      <c r="C49" s="5">
        <v>9</v>
      </c>
      <c r="D49" s="245">
        <v>0</v>
      </c>
      <c r="E49" s="26">
        <v>7</v>
      </c>
      <c r="F49" s="437">
        <v>0</v>
      </c>
      <c r="G49" s="424">
        <v>0</v>
      </c>
      <c r="H49" s="422">
        <v>0</v>
      </c>
      <c r="I49" s="418">
        <v>0</v>
      </c>
      <c r="J49" s="427">
        <v>0</v>
      </c>
    </row>
    <row r="50" spans="1:10" ht="15" customHeight="1" x14ac:dyDescent="0.25">
      <c r="A50" s="5">
        <v>45</v>
      </c>
      <c r="B50" s="74" t="s">
        <v>132</v>
      </c>
      <c r="C50" s="5">
        <v>10</v>
      </c>
      <c r="D50" s="245">
        <v>0</v>
      </c>
      <c r="E50" s="26">
        <v>7</v>
      </c>
      <c r="F50" s="437">
        <v>0</v>
      </c>
      <c r="G50" s="424">
        <v>0</v>
      </c>
      <c r="H50" s="422">
        <v>0</v>
      </c>
      <c r="I50" s="418">
        <v>0</v>
      </c>
      <c r="J50" s="427">
        <v>0</v>
      </c>
    </row>
    <row r="51" spans="1:10" ht="15" customHeight="1" x14ac:dyDescent="0.25">
      <c r="A51" s="5">
        <v>46</v>
      </c>
      <c r="B51" s="74" t="s">
        <v>132</v>
      </c>
      <c r="C51" s="5">
        <v>11</v>
      </c>
      <c r="D51" s="245">
        <v>0</v>
      </c>
      <c r="E51" s="26">
        <v>2</v>
      </c>
      <c r="F51" s="437">
        <v>0</v>
      </c>
      <c r="G51" s="424">
        <v>0</v>
      </c>
      <c r="H51" s="422">
        <v>0</v>
      </c>
      <c r="I51" s="418">
        <v>0</v>
      </c>
      <c r="J51" s="427">
        <v>0</v>
      </c>
    </row>
    <row r="52" spans="1:10" ht="15" customHeight="1" x14ac:dyDescent="0.25">
      <c r="A52" s="5">
        <v>47</v>
      </c>
      <c r="B52" s="9" t="s">
        <v>133</v>
      </c>
      <c r="C52" s="5" t="s">
        <v>31</v>
      </c>
      <c r="D52" s="245">
        <v>35.89</v>
      </c>
      <c r="E52" s="26">
        <v>65</v>
      </c>
      <c r="F52" s="438">
        <v>20</v>
      </c>
      <c r="G52" s="415">
        <v>11</v>
      </c>
      <c r="H52" s="396">
        <v>67</v>
      </c>
      <c r="I52" s="418">
        <v>2</v>
      </c>
      <c r="J52" s="419">
        <v>67</v>
      </c>
    </row>
    <row r="53" spans="1:10" ht="15" customHeight="1" x14ac:dyDescent="0.25">
      <c r="A53" s="5">
        <v>48</v>
      </c>
      <c r="B53" s="9" t="s">
        <v>133</v>
      </c>
      <c r="C53" s="5" t="s">
        <v>28</v>
      </c>
      <c r="D53" s="245">
        <v>35.89</v>
      </c>
      <c r="E53" s="26">
        <v>66</v>
      </c>
      <c r="F53" s="438">
        <v>25</v>
      </c>
      <c r="G53" s="415">
        <v>29</v>
      </c>
      <c r="H53" s="396">
        <v>28</v>
      </c>
      <c r="I53" s="418">
        <v>7</v>
      </c>
      <c r="J53" s="419">
        <v>83</v>
      </c>
    </row>
    <row r="54" spans="1:10" ht="15" customHeight="1" x14ac:dyDescent="0.25">
      <c r="A54" s="5">
        <v>49</v>
      </c>
      <c r="B54" s="9" t="s">
        <v>133</v>
      </c>
      <c r="C54" s="5" t="s">
        <v>29</v>
      </c>
      <c r="D54" s="245">
        <v>35.89</v>
      </c>
      <c r="E54" s="26">
        <v>254</v>
      </c>
      <c r="F54" s="438">
        <v>27</v>
      </c>
      <c r="G54" s="415">
        <v>17</v>
      </c>
      <c r="H54" s="396">
        <v>16</v>
      </c>
      <c r="I54" s="418">
        <v>1</v>
      </c>
      <c r="J54" s="419">
        <v>43</v>
      </c>
    </row>
    <row r="55" spans="1:10" ht="15" customHeight="1" x14ac:dyDescent="0.25">
      <c r="A55" s="5">
        <v>50</v>
      </c>
      <c r="B55" s="9" t="s">
        <v>133</v>
      </c>
      <c r="C55" s="5" t="s">
        <v>32</v>
      </c>
      <c r="D55" s="245">
        <v>35.89</v>
      </c>
      <c r="E55" s="26">
        <v>265</v>
      </c>
      <c r="F55" s="438">
        <v>25</v>
      </c>
      <c r="G55" s="415">
        <v>16</v>
      </c>
      <c r="H55" s="396">
        <v>53</v>
      </c>
      <c r="I55" s="418">
        <v>11</v>
      </c>
      <c r="J55" s="419">
        <v>3</v>
      </c>
    </row>
    <row r="56" spans="1:10" ht="15" customHeight="1" x14ac:dyDescent="0.25">
      <c r="A56" s="5">
        <v>51</v>
      </c>
      <c r="B56" s="9" t="s">
        <v>96</v>
      </c>
      <c r="C56" s="5">
        <v>9</v>
      </c>
      <c r="D56" s="245">
        <v>38</v>
      </c>
      <c r="E56" s="26">
        <v>83</v>
      </c>
      <c r="F56" s="438">
        <v>14</v>
      </c>
      <c r="G56" s="424">
        <v>0</v>
      </c>
      <c r="H56" s="442">
        <v>11</v>
      </c>
      <c r="I56" s="418">
        <v>2</v>
      </c>
      <c r="J56" s="419">
        <v>6</v>
      </c>
    </row>
    <row r="57" spans="1:10" ht="15" customHeight="1" x14ac:dyDescent="0.25">
      <c r="A57" s="5">
        <v>52</v>
      </c>
      <c r="B57" s="9" t="s">
        <v>96</v>
      </c>
      <c r="C57" s="5">
        <v>10</v>
      </c>
      <c r="D57" s="245">
        <v>38</v>
      </c>
      <c r="E57" s="26">
        <v>90</v>
      </c>
      <c r="F57" s="437">
        <v>0</v>
      </c>
      <c r="G57" s="415">
        <v>88</v>
      </c>
      <c r="H57" s="396">
        <v>23</v>
      </c>
      <c r="I57" s="418">
        <v>1</v>
      </c>
      <c r="J57" s="419">
        <v>101</v>
      </c>
    </row>
    <row r="58" spans="1:10" ht="15" customHeight="1" x14ac:dyDescent="0.25">
      <c r="A58" s="5">
        <v>53</v>
      </c>
      <c r="B58" s="9" t="s">
        <v>134</v>
      </c>
      <c r="C58" s="5">
        <v>11</v>
      </c>
      <c r="D58" s="245">
        <v>38</v>
      </c>
      <c r="E58" s="26">
        <v>100</v>
      </c>
      <c r="F58" s="437">
        <v>0</v>
      </c>
      <c r="G58" s="424">
        <v>0</v>
      </c>
      <c r="H58" s="396">
        <v>33</v>
      </c>
      <c r="I58" s="418">
        <v>12</v>
      </c>
      <c r="J58" s="419">
        <v>75</v>
      </c>
    </row>
    <row r="59" spans="1:10" ht="15" customHeight="1" x14ac:dyDescent="0.25">
      <c r="A59" s="5">
        <v>54</v>
      </c>
      <c r="B59" s="9" t="s">
        <v>135</v>
      </c>
      <c r="C59" s="5" t="s">
        <v>28</v>
      </c>
      <c r="D59" s="245">
        <v>0</v>
      </c>
      <c r="E59" s="26">
        <v>10</v>
      </c>
      <c r="F59" s="437">
        <v>0</v>
      </c>
      <c r="G59" s="424">
        <v>0</v>
      </c>
      <c r="H59" s="422">
        <v>0</v>
      </c>
      <c r="I59" s="418">
        <v>0</v>
      </c>
      <c r="J59" s="419">
        <v>1</v>
      </c>
    </row>
    <row r="60" spans="1:10" ht="15" customHeight="1" x14ac:dyDescent="0.25">
      <c r="A60" s="5">
        <v>55</v>
      </c>
      <c r="B60" s="9" t="s">
        <v>135</v>
      </c>
      <c r="C60" s="5" t="s">
        <v>29</v>
      </c>
      <c r="D60" s="245">
        <v>0</v>
      </c>
      <c r="E60" s="26">
        <v>15</v>
      </c>
      <c r="F60" s="437">
        <v>0</v>
      </c>
      <c r="G60" s="424">
        <v>0</v>
      </c>
      <c r="H60" s="422">
        <v>0</v>
      </c>
      <c r="I60" s="418">
        <v>0</v>
      </c>
      <c r="J60" s="427">
        <v>0</v>
      </c>
    </row>
    <row r="61" spans="1:10" ht="15" customHeight="1" x14ac:dyDescent="0.25">
      <c r="A61" s="5">
        <v>56</v>
      </c>
      <c r="B61" s="9" t="s">
        <v>135</v>
      </c>
      <c r="C61" s="5" t="s">
        <v>32</v>
      </c>
      <c r="D61" s="245">
        <v>0</v>
      </c>
      <c r="E61" s="26">
        <v>7</v>
      </c>
      <c r="F61" s="437">
        <v>0</v>
      </c>
      <c r="G61" s="424">
        <v>0</v>
      </c>
      <c r="H61" s="422">
        <v>0</v>
      </c>
      <c r="I61" s="418">
        <v>0</v>
      </c>
      <c r="J61" s="427">
        <v>0</v>
      </c>
    </row>
    <row r="62" spans="1:10" ht="15" customHeight="1" x14ac:dyDescent="0.25">
      <c r="A62" s="5">
        <v>57</v>
      </c>
      <c r="B62" s="9" t="s">
        <v>136</v>
      </c>
      <c r="C62" s="5" t="s">
        <v>28</v>
      </c>
      <c r="D62" s="245">
        <v>0</v>
      </c>
      <c r="E62" s="26">
        <v>10</v>
      </c>
      <c r="F62" s="437">
        <v>0</v>
      </c>
      <c r="G62" s="424">
        <v>0</v>
      </c>
      <c r="H62" s="422">
        <v>0</v>
      </c>
      <c r="I62" s="418">
        <v>0</v>
      </c>
      <c r="J62" s="427">
        <v>0</v>
      </c>
    </row>
    <row r="63" spans="1:10" ht="15" customHeight="1" x14ac:dyDescent="0.25">
      <c r="A63" s="5">
        <v>58</v>
      </c>
      <c r="B63" s="9" t="s">
        <v>136</v>
      </c>
      <c r="C63" s="5" t="s">
        <v>29</v>
      </c>
      <c r="D63" s="245">
        <v>0</v>
      </c>
      <c r="E63" s="26">
        <v>7</v>
      </c>
      <c r="F63" s="437">
        <v>0</v>
      </c>
      <c r="G63" s="424">
        <v>0</v>
      </c>
      <c r="H63" s="422">
        <v>0</v>
      </c>
      <c r="I63" s="418">
        <v>0</v>
      </c>
      <c r="J63" s="427">
        <v>0</v>
      </c>
    </row>
    <row r="64" spans="1:10" ht="15" customHeight="1" x14ac:dyDescent="0.25">
      <c r="A64" s="5">
        <v>59</v>
      </c>
      <c r="B64" s="9" t="s">
        <v>136</v>
      </c>
      <c r="C64" s="5" t="s">
        <v>32</v>
      </c>
      <c r="D64" s="245">
        <v>0</v>
      </c>
      <c r="E64" s="26">
        <v>0</v>
      </c>
      <c r="F64" s="437">
        <v>0</v>
      </c>
      <c r="G64" s="424">
        <v>0</v>
      </c>
      <c r="H64" s="422">
        <v>0</v>
      </c>
      <c r="I64" s="418">
        <v>0</v>
      </c>
      <c r="J64" s="427">
        <v>0</v>
      </c>
    </row>
    <row r="65" spans="1:10" ht="15" customHeight="1" x14ac:dyDescent="0.25">
      <c r="A65" s="5">
        <v>60</v>
      </c>
      <c r="B65" s="9" t="s">
        <v>137</v>
      </c>
      <c r="C65" s="5" t="s">
        <v>28</v>
      </c>
      <c r="D65" s="245">
        <v>0</v>
      </c>
      <c r="E65" s="26">
        <v>4</v>
      </c>
      <c r="F65" s="437">
        <v>0</v>
      </c>
      <c r="G65" s="424">
        <v>0</v>
      </c>
      <c r="H65" s="422">
        <v>0</v>
      </c>
      <c r="I65" s="418">
        <v>0</v>
      </c>
      <c r="J65" s="427">
        <v>0</v>
      </c>
    </row>
    <row r="66" spans="1:10" ht="15" customHeight="1" x14ac:dyDescent="0.25">
      <c r="A66" s="5">
        <v>61</v>
      </c>
      <c r="B66" s="9" t="s">
        <v>137</v>
      </c>
      <c r="C66" s="5" t="s">
        <v>29</v>
      </c>
      <c r="D66" s="245">
        <v>0</v>
      </c>
      <c r="E66" s="26">
        <v>2</v>
      </c>
      <c r="F66" s="437">
        <v>0</v>
      </c>
      <c r="G66" s="424">
        <v>0</v>
      </c>
      <c r="H66" s="422">
        <v>0</v>
      </c>
      <c r="I66" s="418">
        <v>0</v>
      </c>
      <c r="J66" s="427">
        <v>0</v>
      </c>
    </row>
    <row r="67" spans="1:10" ht="15" customHeight="1" x14ac:dyDescent="0.25">
      <c r="A67" s="5">
        <v>62</v>
      </c>
      <c r="B67" s="9" t="s">
        <v>137</v>
      </c>
      <c r="C67" s="5" t="s">
        <v>138</v>
      </c>
      <c r="D67" s="245">
        <v>0</v>
      </c>
      <c r="E67" s="26">
        <v>4</v>
      </c>
      <c r="F67" s="437">
        <v>0</v>
      </c>
      <c r="G67" s="424">
        <v>0</v>
      </c>
      <c r="H67" s="422">
        <v>0</v>
      </c>
      <c r="I67" s="418">
        <v>0</v>
      </c>
      <c r="J67" s="427">
        <v>0</v>
      </c>
    </row>
    <row r="68" spans="1:10" ht="15" customHeight="1" x14ac:dyDescent="0.25">
      <c r="A68" s="5">
        <v>63</v>
      </c>
      <c r="B68" s="9" t="s">
        <v>139</v>
      </c>
      <c r="C68" s="5" t="s">
        <v>118</v>
      </c>
      <c r="D68" s="247">
        <v>4</v>
      </c>
      <c r="E68" s="26">
        <v>105</v>
      </c>
      <c r="F68" s="438">
        <v>26</v>
      </c>
      <c r="G68" s="415">
        <v>39</v>
      </c>
      <c r="H68" s="396">
        <v>77</v>
      </c>
      <c r="I68" s="418">
        <v>4</v>
      </c>
      <c r="J68" s="419">
        <v>24</v>
      </c>
    </row>
    <row r="69" spans="1:10" ht="15" customHeight="1" x14ac:dyDescent="0.25">
      <c r="A69" s="5">
        <v>64</v>
      </c>
      <c r="B69" s="9" t="s">
        <v>140</v>
      </c>
      <c r="C69" s="5" t="s">
        <v>118</v>
      </c>
      <c r="D69" s="247">
        <v>4.8499999999999996</v>
      </c>
      <c r="E69" s="26">
        <v>240</v>
      </c>
      <c r="F69" s="438">
        <v>22</v>
      </c>
      <c r="G69" s="415">
        <v>98</v>
      </c>
      <c r="H69" s="396">
        <v>76</v>
      </c>
      <c r="I69" s="418">
        <v>1</v>
      </c>
      <c r="J69" s="419">
        <v>80</v>
      </c>
    </row>
    <row r="70" spans="1:10" ht="15" customHeight="1" x14ac:dyDescent="0.25">
      <c r="A70" s="5">
        <v>65</v>
      </c>
      <c r="B70" s="9" t="s">
        <v>141</v>
      </c>
      <c r="C70" s="5" t="s">
        <v>118</v>
      </c>
      <c r="D70" s="248">
        <v>8.08</v>
      </c>
      <c r="E70" s="26">
        <v>314</v>
      </c>
      <c r="F70" s="437">
        <v>0</v>
      </c>
      <c r="G70" s="415">
        <v>41</v>
      </c>
      <c r="H70" s="396">
        <v>87</v>
      </c>
      <c r="I70" s="418">
        <v>5</v>
      </c>
      <c r="J70" s="419">
        <v>1</v>
      </c>
    </row>
    <row r="71" spans="1:10" ht="15" customHeight="1" x14ac:dyDescent="0.25">
      <c r="A71" s="5">
        <v>66</v>
      </c>
      <c r="B71" s="9" t="s">
        <v>142</v>
      </c>
      <c r="C71" s="5" t="s">
        <v>118</v>
      </c>
      <c r="D71" s="247">
        <v>9</v>
      </c>
      <c r="E71" s="26">
        <v>324</v>
      </c>
      <c r="F71" s="437">
        <v>0</v>
      </c>
      <c r="G71" s="415">
        <v>24</v>
      </c>
      <c r="H71" s="396">
        <v>84</v>
      </c>
      <c r="I71" s="418">
        <v>2</v>
      </c>
      <c r="J71" s="419">
        <v>17</v>
      </c>
    </row>
    <row r="72" spans="1:10" ht="15" customHeight="1" x14ac:dyDescent="0.25">
      <c r="A72" s="5">
        <v>67</v>
      </c>
      <c r="B72" s="9" t="s">
        <v>143</v>
      </c>
      <c r="C72" s="20">
        <v>34</v>
      </c>
      <c r="D72" s="245">
        <v>0</v>
      </c>
      <c r="E72" s="26">
        <v>18</v>
      </c>
      <c r="F72" s="437">
        <v>0</v>
      </c>
      <c r="G72" s="424">
        <v>0</v>
      </c>
      <c r="H72" s="422">
        <v>0</v>
      </c>
      <c r="I72" s="418">
        <v>0</v>
      </c>
      <c r="J72" s="427">
        <v>0</v>
      </c>
    </row>
    <row r="73" spans="1:10" ht="15" customHeight="1" x14ac:dyDescent="0.25">
      <c r="A73" s="5">
        <v>68</v>
      </c>
      <c r="B73" s="9" t="s">
        <v>143</v>
      </c>
      <c r="C73" s="20">
        <v>35</v>
      </c>
      <c r="D73" s="245">
        <v>0</v>
      </c>
      <c r="E73" s="26">
        <v>14</v>
      </c>
      <c r="F73" s="437">
        <v>0</v>
      </c>
      <c r="G73" s="424">
        <v>0</v>
      </c>
      <c r="H73" s="396">
        <v>2</v>
      </c>
      <c r="I73" s="418">
        <v>0</v>
      </c>
      <c r="J73" s="419">
        <v>19</v>
      </c>
    </row>
    <row r="74" spans="1:10" ht="15" customHeight="1" x14ac:dyDescent="0.25">
      <c r="A74" s="5">
        <v>69</v>
      </c>
      <c r="B74" s="9" t="s">
        <v>143</v>
      </c>
      <c r="C74" s="20">
        <v>36</v>
      </c>
      <c r="D74" s="245">
        <v>0</v>
      </c>
      <c r="E74" s="26">
        <v>16</v>
      </c>
      <c r="F74" s="437">
        <v>0</v>
      </c>
      <c r="G74" s="424">
        <v>0</v>
      </c>
      <c r="H74" s="396">
        <v>1</v>
      </c>
      <c r="I74" s="418">
        <v>0</v>
      </c>
      <c r="J74" s="419">
        <v>26</v>
      </c>
    </row>
    <row r="75" spans="1:10" ht="15" customHeight="1" x14ac:dyDescent="0.25">
      <c r="A75" s="5">
        <v>70</v>
      </c>
      <c r="B75" s="9" t="s">
        <v>143</v>
      </c>
      <c r="C75" s="20">
        <v>37</v>
      </c>
      <c r="D75" s="245">
        <v>0</v>
      </c>
      <c r="E75" s="26">
        <v>20</v>
      </c>
      <c r="F75" s="437">
        <v>0</v>
      </c>
      <c r="G75" s="424">
        <v>0</v>
      </c>
      <c r="H75" s="396">
        <v>2</v>
      </c>
      <c r="I75" s="418">
        <v>1</v>
      </c>
      <c r="J75" s="419">
        <v>28</v>
      </c>
    </row>
    <row r="76" spans="1:10" ht="15" customHeight="1" x14ac:dyDescent="0.25">
      <c r="A76" s="5">
        <v>71</v>
      </c>
      <c r="B76" s="9" t="s">
        <v>143</v>
      </c>
      <c r="C76" s="5">
        <v>38</v>
      </c>
      <c r="D76" s="245">
        <v>0</v>
      </c>
      <c r="E76" s="26">
        <v>23</v>
      </c>
      <c r="F76" s="438">
        <v>19</v>
      </c>
      <c r="G76" s="424">
        <v>0</v>
      </c>
      <c r="H76" s="396">
        <v>22</v>
      </c>
      <c r="I76" s="418">
        <v>0</v>
      </c>
      <c r="J76" s="419">
        <v>29</v>
      </c>
    </row>
    <row r="77" spans="1:10" ht="15" customHeight="1" x14ac:dyDescent="0.25">
      <c r="A77" s="5">
        <v>72</v>
      </c>
      <c r="B77" s="9" t="s">
        <v>143</v>
      </c>
      <c r="C77" s="21">
        <v>39</v>
      </c>
      <c r="D77" s="245">
        <v>0</v>
      </c>
      <c r="E77" s="26">
        <v>20</v>
      </c>
      <c r="F77" s="438">
        <v>20</v>
      </c>
      <c r="G77" s="415">
        <v>4</v>
      </c>
      <c r="H77" s="396">
        <v>23</v>
      </c>
      <c r="I77" s="418">
        <v>1</v>
      </c>
      <c r="J77" s="419">
        <v>27</v>
      </c>
    </row>
    <row r="78" spans="1:10" ht="15" customHeight="1" x14ac:dyDescent="0.25">
      <c r="A78" s="5">
        <v>73</v>
      </c>
      <c r="B78" s="9" t="s">
        <v>143</v>
      </c>
      <c r="C78" s="20">
        <v>40</v>
      </c>
      <c r="D78" s="245">
        <v>0</v>
      </c>
      <c r="E78" s="26">
        <v>19</v>
      </c>
      <c r="F78" s="438">
        <v>20</v>
      </c>
      <c r="G78" s="424">
        <v>0</v>
      </c>
      <c r="H78" s="396">
        <v>25</v>
      </c>
      <c r="I78" s="418">
        <v>0</v>
      </c>
      <c r="J78" s="419">
        <v>13</v>
      </c>
    </row>
    <row r="79" spans="1:10" ht="15" customHeight="1" x14ac:dyDescent="0.25">
      <c r="A79" s="5">
        <v>74</v>
      </c>
      <c r="B79" s="9" t="s">
        <v>143</v>
      </c>
      <c r="C79" s="21">
        <v>41</v>
      </c>
      <c r="D79" s="245">
        <v>0</v>
      </c>
      <c r="E79" s="26">
        <v>25</v>
      </c>
      <c r="F79" s="438">
        <v>20</v>
      </c>
      <c r="G79" s="424">
        <v>0</v>
      </c>
      <c r="H79" s="396">
        <v>30</v>
      </c>
      <c r="I79" s="418">
        <v>1</v>
      </c>
      <c r="J79" s="419">
        <v>11</v>
      </c>
    </row>
    <row r="80" spans="1:10" ht="15" customHeight="1" x14ac:dyDescent="0.25">
      <c r="A80" s="5">
        <v>75</v>
      </c>
      <c r="B80" s="9" t="s">
        <v>143</v>
      </c>
      <c r="C80" s="21">
        <v>42</v>
      </c>
      <c r="D80" s="245">
        <v>0</v>
      </c>
      <c r="E80" s="26">
        <v>26</v>
      </c>
      <c r="F80" s="438">
        <v>16</v>
      </c>
      <c r="G80" s="424">
        <v>0</v>
      </c>
      <c r="H80" s="442">
        <v>40</v>
      </c>
      <c r="I80" s="418">
        <v>0</v>
      </c>
      <c r="J80" s="419">
        <v>14</v>
      </c>
    </row>
    <row r="81" spans="1:10" ht="15" customHeight="1" x14ac:dyDescent="0.25">
      <c r="A81" s="5">
        <v>76</v>
      </c>
      <c r="B81" s="9" t="s">
        <v>143</v>
      </c>
      <c r="C81" s="21">
        <v>43</v>
      </c>
      <c r="D81" s="245">
        <v>0</v>
      </c>
      <c r="E81" s="26">
        <v>25</v>
      </c>
      <c r="F81" s="438">
        <v>20</v>
      </c>
      <c r="G81" s="424">
        <v>0</v>
      </c>
      <c r="H81" s="442">
        <v>21</v>
      </c>
      <c r="I81" s="418">
        <v>0</v>
      </c>
      <c r="J81" s="419">
        <v>22</v>
      </c>
    </row>
    <row r="82" spans="1:10" ht="15" customHeight="1" x14ac:dyDescent="0.25">
      <c r="A82" s="5">
        <v>77</v>
      </c>
      <c r="B82" s="9" t="s">
        <v>143</v>
      </c>
      <c r="C82" s="21">
        <v>44</v>
      </c>
      <c r="D82" s="245">
        <v>0</v>
      </c>
      <c r="E82" s="26">
        <v>10</v>
      </c>
      <c r="F82" s="438">
        <v>20</v>
      </c>
      <c r="G82" s="424">
        <v>0</v>
      </c>
      <c r="H82" s="442">
        <v>20</v>
      </c>
      <c r="I82" s="418">
        <v>1</v>
      </c>
      <c r="J82" s="419">
        <v>15</v>
      </c>
    </row>
    <row r="83" spans="1:10" ht="15" customHeight="1" x14ac:dyDescent="0.25">
      <c r="A83" s="5">
        <v>78</v>
      </c>
      <c r="B83" s="9" t="s">
        <v>143</v>
      </c>
      <c r="C83" s="21">
        <v>45</v>
      </c>
      <c r="D83" s="245">
        <v>0</v>
      </c>
      <c r="E83" s="26">
        <v>4</v>
      </c>
      <c r="F83" s="438">
        <v>20</v>
      </c>
      <c r="G83" s="424">
        <v>0</v>
      </c>
      <c r="H83" s="422">
        <v>0</v>
      </c>
      <c r="I83" s="418">
        <v>0</v>
      </c>
      <c r="J83" s="419">
        <v>19</v>
      </c>
    </row>
    <row r="84" spans="1:10" ht="15" customHeight="1" x14ac:dyDescent="0.25">
      <c r="A84" s="5">
        <v>79</v>
      </c>
      <c r="B84" s="9" t="s">
        <v>143</v>
      </c>
      <c r="C84" s="21">
        <v>46</v>
      </c>
      <c r="D84" s="245">
        <v>0</v>
      </c>
      <c r="E84" s="26">
        <v>0</v>
      </c>
      <c r="F84" s="437">
        <v>0</v>
      </c>
      <c r="G84" s="424">
        <v>0</v>
      </c>
      <c r="H84" s="422">
        <v>0</v>
      </c>
      <c r="I84" s="418">
        <v>0</v>
      </c>
      <c r="J84" s="427">
        <v>0</v>
      </c>
    </row>
    <row r="85" spans="1:10" ht="15" customHeight="1" x14ac:dyDescent="0.25">
      <c r="A85" s="5">
        <v>80</v>
      </c>
      <c r="B85" s="9" t="s">
        <v>144</v>
      </c>
      <c r="C85" s="5" t="s">
        <v>145</v>
      </c>
      <c r="D85" s="245">
        <v>41.39</v>
      </c>
      <c r="E85" s="26">
        <v>57</v>
      </c>
      <c r="F85" s="437">
        <v>9</v>
      </c>
      <c r="G85" s="424">
        <v>0</v>
      </c>
      <c r="H85" s="396">
        <v>30</v>
      </c>
      <c r="I85" s="418">
        <v>0</v>
      </c>
      <c r="J85" s="419">
        <v>35</v>
      </c>
    </row>
    <row r="86" spans="1:10" ht="15" customHeight="1" x14ac:dyDescent="0.25">
      <c r="A86" s="5">
        <v>81</v>
      </c>
      <c r="B86" s="9" t="s">
        <v>146</v>
      </c>
      <c r="C86" s="5" t="s">
        <v>118</v>
      </c>
      <c r="D86" s="245">
        <v>173.3</v>
      </c>
      <c r="E86" s="26">
        <v>14</v>
      </c>
      <c r="F86" s="437">
        <v>0</v>
      </c>
      <c r="G86" s="424">
        <v>0</v>
      </c>
      <c r="H86" s="422">
        <v>0</v>
      </c>
      <c r="I86" s="418">
        <v>0</v>
      </c>
      <c r="J86" s="427">
        <v>0</v>
      </c>
    </row>
    <row r="87" spans="1:10" ht="15" customHeight="1" x14ac:dyDescent="0.25">
      <c r="A87" s="5">
        <v>82</v>
      </c>
      <c r="B87" s="9" t="s">
        <v>147</v>
      </c>
      <c r="C87" s="5" t="s">
        <v>118</v>
      </c>
      <c r="D87" s="245">
        <v>2.36</v>
      </c>
      <c r="E87" s="26">
        <v>0</v>
      </c>
      <c r="F87" s="437">
        <v>0</v>
      </c>
      <c r="G87" s="424">
        <v>0</v>
      </c>
      <c r="H87" s="422">
        <v>0</v>
      </c>
      <c r="I87" s="418">
        <v>0</v>
      </c>
      <c r="J87" s="419">
        <v>0</v>
      </c>
    </row>
    <row r="88" spans="1:10" ht="15" customHeight="1" x14ac:dyDescent="0.25">
      <c r="A88" s="5">
        <v>83</v>
      </c>
      <c r="B88" s="420" t="s">
        <v>148</v>
      </c>
      <c r="C88" s="5" t="s">
        <v>118</v>
      </c>
      <c r="D88" s="249">
        <v>24.55</v>
      </c>
      <c r="E88" s="26">
        <v>155</v>
      </c>
      <c r="F88" s="438">
        <v>128</v>
      </c>
      <c r="G88" s="424">
        <v>0</v>
      </c>
      <c r="H88" s="396">
        <v>65</v>
      </c>
      <c r="I88" s="418">
        <v>7</v>
      </c>
      <c r="J88" s="419">
        <v>40</v>
      </c>
    </row>
    <row r="89" spans="1:10" ht="15" customHeight="1" x14ac:dyDescent="0.25">
      <c r="A89" s="5">
        <v>84</v>
      </c>
      <c r="B89" s="293" t="s">
        <v>149</v>
      </c>
      <c r="C89" s="5" t="s">
        <v>118</v>
      </c>
      <c r="D89" s="245">
        <v>0</v>
      </c>
      <c r="E89" s="26">
        <v>18</v>
      </c>
      <c r="F89" s="437">
        <v>0</v>
      </c>
      <c r="G89" s="424">
        <v>0</v>
      </c>
      <c r="H89" s="396">
        <v>0</v>
      </c>
      <c r="I89" s="418">
        <v>0</v>
      </c>
      <c r="J89" s="427">
        <v>0</v>
      </c>
    </row>
    <row r="90" spans="1:10" ht="15" customHeight="1" x14ac:dyDescent="0.25">
      <c r="A90" s="5">
        <v>85</v>
      </c>
      <c r="B90" s="9" t="s">
        <v>150</v>
      </c>
      <c r="C90" s="5" t="s">
        <v>118</v>
      </c>
      <c r="D90" s="249">
        <v>890.46</v>
      </c>
      <c r="E90" s="26">
        <v>154</v>
      </c>
      <c r="F90" s="437">
        <v>0</v>
      </c>
      <c r="G90" s="415">
        <v>38</v>
      </c>
      <c r="H90" s="396">
        <v>50</v>
      </c>
      <c r="I90" s="418">
        <v>5</v>
      </c>
      <c r="J90" s="419">
        <v>1</v>
      </c>
    </row>
    <row r="91" spans="1:10" ht="15" customHeight="1" x14ac:dyDescent="0.25">
      <c r="A91" s="5">
        <v>86</v>
      </c>
      <c r="B91" s="9" t="s">
        <v>70</v>
      </c>
      <c r="C91" s="5" t="s">
        <v>118</v>
      </c>
      <c r="D91" s="245">
        <v>355</v>
      </c>
      <c r="E91" s="26">
        <v>200</v>
      </c>
      <c r="F91" s="438">
        <v>30</v>
      </c>
      <c r="G91" s="415">
        <v>47</v>
      </c>
      <c r="H91" s="396">
        <v>91</v>
      </c>
      <c r="I91" s="418">
        <v>0</v>
      </c>
      <c r="J91" s="419">
        <v>14</v>
      </c>
    </row>
    <row r="92" spans="1:10" ht="15" customHeight="1" x14ac:dyDescent="0.25">
      <c r="A92" s="5">
        <v>87</v>
      </c>
      <c r="B92" s="9" t="s">
        <v>151</v>
      </c>
      <c r="C92" s="5" t="s">
        <v>118</v>
      </c>
      <c r="D92" s="245">
        <v>280.39</v>
      </c>
      <c r="E92" s="26">
        <v>20</v>
      </c>
      <c r="F92" s="437">
        <v>0</v>
      </c>
      <c r="G92" s="424">
        <v>0</v>
      </c>
      <c r="H92" s="422">
        <v>0</v>
      </c>
      <c r="I92" s="418">
        <v>0</v>
      </c>
      <c r="J92" s="419">
        <v>5</v>
      </c>
    </row>
    <row r="93" spans="1:10" ht="15" customHeight="1" x14ac:dyDescent="0.25">
      <c r="A93" s="5">
        <v>88</v>
      </c>
      <c r="B93" s="9" t="s">
        <v>72</v>
      </c>
      <c r="C93" s="5" t="s">
        <v>118</v>
      </c>
      <c r="D93" s="245">
        <v>0</v>
      </c>
      <c r="E93" s="26">
        <v>100</v>
      </c>
      <c r="F93" s="438">
        <v>15</v>
      </c>
      <c r="G93" s="415">
        <v>54</v>
      </c>
      <c r="H93" s="396">
        <v>23</v>
      </c>
      <c r="I93" s="418">
        <v>2</v>
      </c>
      <c r="J93" s="419">
        <v>26</v>
      </c>
    </row>
    <row r="94" spans="1:10" ht="15" customHeight="1" x14ac:dyDescent="0.25">
      <c r="A94" s="5">
        <v>89</v>
      </c>
      <c r="B94" s="9" t="s">
        <v>73</v>
      </c>
      <c r="C94" s="5" t="s">
        <v>118</v>
      </c>
      <c r="D94" s="245">
        <v>311.64999999999998</v>
      </c>
      <c r="E94" s="26">
        <v>220</v>
      </c>
      <c r="F94" s="438">
        <v>31</v>
      </c>
      <c r="G94" s="415">
        <v>17</v>
      </c>
      <c r="H94" s="396">
        <v>90</v>
      </c>
      <c r="I94" s="418">
        <v>1</v>
      </c>
      <c r="J94" s="419">
        <v>21</v>
      </c>
    </row>
    <row r="95" spans="1:10" ht="15" customHeight="1" x14ac:dyDescent="0.25">
      <c r="A95" s="5">
        <v>90</v>
      </c>
      <c r="B95" s="363" t="s">
        <v>152</v>
      </c>
      <c r="C95" s="32" t="s">
        <v>118</v>
      </c>
      <c r="D95" s="245">
        <v>0</v>
      </c>
      <c r="E95" s="376">
        <v>2</v>
      </c>
      <c r="F95" s="437">
        <v>0</v>
      </c>
      <c r="G95" s="424">
        <v>0</v>
      </c>
      <c r="H95" s="422">
        <v>0</v>
      </c>
      <c r="I95" s="418">
        <v>0</v>
      </c>
      <c r="J95" s="427">
        <v>0</v>
      </c>
    </row>
    <row r="96" spans="1:10" ht="33" customHeight="1" x14ac:dyDescent="0.25">
      <c r="A96" s="481" t="s">
        <v>153</v>
      </c>
      <c r="B96" s="482"/>
      <c r="C96" s="482"/>
      <c r="D96" s="482"/>
      <c r="E96" s="482"/>
      <c r="F96" s="482"/>
      <c r="G96" s="482"/>
      <c r="H96" s="482"/>
      <c r="I96" s="482"/>
      <c r="J96" s="482"/>
    </row>
    <row r="97" spans="1:10" ht="15" customHeight="1" x14ac:dyDescent="0.25">
      <c r="A97" s="5">
        <v>91</v>
      </c>
      <c r="B97" s="9" t="s">
        <v>154</v>
      </c>
      <c r="C97" s="5" t="s">
        <v>118</v>
      </c>
      <c r="D97" s="178">
        <v>180.23</v>
      </c>
      <c r="E97" s="421">
        <v>0</v>
      </c>
      <c r="F97" s="105">
        <v>0</v>
      </c>
      <c r="G97" s="105">
        <v>0</v>
      </c>
      <c r="H97" s="421">
        <v>0</v>
      </c>
      <c r="I97" s="105">
        <v>0</v>
      </c>
      <c r="J97" s="105">
        <v>0</v>
      </c>
    </row>
    <row r="98" spans="1:10" ht="15" customHeight="1" x14ac:dyDescent="0.25">
      <c r="A98" s="5">
        <v>92</v>
      </c>
      <c r="B98" s="9" t="s">
        <v>155</v>
      </c>
      <c r="C98" s="5" t="s">
        <v>118</v>
      </c>
      <c r="D98" s="178">
        <v>755</v>
      </c>
      <c r="E98" s="421">
        <v>0</v>
      </c>
      <c r="F98" s="105">
        <v>0</v>
      </c>
      <c r="G98" s="105">
        <v>0</v>
      </c>
      <c r="H98" s="421">
        <v>0</v>
      </c>
      <c r="I98" s="105">
        <v>0</v>
      </c>
      <c r="J98" s="105">
        <v>0</v>
      </c>
    </row>
    <row r="99" spans="1:10" ht="15" customHeight="1" x14ac:dyDescent="0.25">
      <c r="A99" s="5">
        <v>93</v>
      </c>
      <c r="B99" s="9" t="s">
        <v>156</v>
      </c>
      <c r="C99" s="5" t="s">
        <v>118</v>
      </c>
      <c r="D99" s="178">
        <v>355</v>
      </c>
      <c r="E99" s="421">
        <v>0</v>
      </c>
      <c r="F99" s="105">
        <v>0</v>
      </c>
      <c r="G99" s="105">
        <v>0</v>
      </c>
      <c r="H99" s="421">
        <v>0</v>
      </c>
      <c r="I99" s="105">
        <v>0</v>
      </c>
      <c r="J99" s="105">
        <v>0</v>
      </c>
    </row>
    <row r="100" spans="1:10" ht="15" customHeight="1" x14ac:dyDescent="0.25">
      <c r="A100" s="5">
        <v>94</v>
      </c>
      <c r="B100" s="9" t="s">
        <v>157</v>
      </c>
      <c r="C100" s="5" t="s">
        <v>118</v>
      </c>
      <c r="D100" s="178">
        <v>280.39</v>
      </c>
      <c r="E100" s="421">
        <v>0</v>
      </c>
      <c r="F100" s="105">
        <v>0</v>
      </c>
      <c r="G100" s="105">
        <v>0</v>
      </c>
      <c r="H100" s="421">
        <v>0</v>
      </c>
      <c r="I100" s="105">
        <v>0</v>
      </c>
      <c r="J100" s="105">
        <v>0</v>
      </c>
    </row>
    <row r="101" spans="1:10" ht="15" customHeight="1" x14ac:dyDescent="0.25">
      <c r="A101" s="5">
        <v>95</v>
      </c>
      <c r="B101" s="9" t="s">
        <v>158</v>
      </c>
      <c r="C101" s="5" t="s">
        <v>118</v>
      </c>
      <c r="D101" s="178">
        <v>385</v>
      </c>
      <c r="E101" s="421">
        <v>0</v>
      </c>
      <c r="F101" s="105">
        <v>0</v>
      </c>
      <c r="G101" s="105">
        <v>0</v>
      </c>
      <c r="H101" s="421">
        <v>0</v>
      </c>
      <c r="I101" s="105">
        <v>0</v>
      </c>
      <c r="J101" s="105">
        <v>0</v>
      </c>
    </row>
    <row r="102" spans="1:10" ht="15" customHeight="1" x14ac:dyDescent="0.25">
      <c r="A102" s="468"/>
      <c r="B102" s="469"/>
      <c r="C102" s="469"/>
      <c r="D102" s="469"/>
      <c r="E102" s="469"/>
      <c r="F102" s="469"/>
      <c r="G102" s="469"/>
      <c r="H102" s="469"/>
      <c r="I102" s="469"/>
      <c r="J102" s="470"/>
    </row>
    <row r="103" spans="1:10" ht="15" customHeight="1" x14ac:dyDescent="0.25">
      <c r="A103" s="473" t="s">
        <v>159</v>
      </c>
      <c r="B103" s="474"/>
      <c r="C103" s="474"/>
      <c r="D103" s="474"/>
      <c r="E103" s="474"/>
      <c r="F103" s="474"/>
      <c r="G103" s="474"/>
      <c r="H103" s="474"/>
      <c r="I103" s="474"/>
      <c r="J103" s="474"/>
    </row>
    <row r="104" spans="1:10" ht="15" customHeight="1" x14ac:dyDescent="0.25">
      <c r="A104" s="294" t="s">
        <v>160</v>
      </c>
      <c r="B104" s="294"/>
      <c r="C104" s="471" t="s">
        <v>118</v>
      </c>
      <c r="D104" s="471" t="s">
        <v>161</v>
      </c>
      <c r="E104" s="389" t="s">
        <v>162</v>
      </c>
      <c r="F104" s="389" t="s">
        <v>162</v>
      </c>
      <c r="G104" s="389" t="s">
        <v>162</v>
      </c>
      <c r="H104" s="389" t="s">
        <v>162</v>
      </c>
      <c r="I104" s="389" t="s">
        <v>162</v>
      </c>
      <c r="J104" s="389" t="s">
        <v>162</v>
      </c>
    </row>
    <row r="105" spans="1:10" ht="15" customHeight="1" x14ac:dyDescent="0.25">
      <c r="A105" s="128" t="s">
        <v>3</v>
      </c>
      <c r="B105" s="128" t="s">
        <v>4</v>
      </c>
      <c r="C105" s="472"/>
      <c r="D105" s="472"/>
      <c r="E105" s="31" t="s">
        <v>108</v>
      </c>
      <c r="F105" s="391" t="s">
        <v>109</v>
      </c>
      <c r="G105" s="59" t="s">
        <v>110</v>
      </c>
      <c r="H105" s="395" t="s">
        <v>111</v>
      </c>
      <c r="I105" s="417" t="s">
        <v>112</v>
      </c>
      <c r="J105" s="242" t="s">
        <v>113</v>
      </c>
    </row>
    <row r="106" spans="1:10" ht="15" customHeight="1" x14ac:dyDescent="0.25">
      <c r="A106" s="475" t="s">
        <v>163</v>
      </c>
      <c r="B106" s="476"/>
      <c r="C106" s="476"/>
      <c r="D106" s="476"/>
      <c r="E106" s="476"/>
      <c r="F106" s="476"/>
      <c r="G106" s="476"/>
      <c r="H106" s="476"/>
      <c r="I106" s="476"/>
      <c r="J106" s="476"/>
    </row>
    <row r="107" spans="1:10" ht="15" customHeight="1" x14ac:dyDescent="0.25">
      <c r="A107" s="5">
        <v>1</v>
      </c>
      <c r="B107" s="11" t="s">
        <v>76</v>
      </c>
      <c r="C107" s="5" t="s">
        <v>118</v>
      </c>
      <c r="D107" s="124">
        <v>143.56</v>
      </c>
      <c r="E107" s="426">
        <v>0</v>
      </c>
      <c r="F107" s="425">
        <v>0</v>
      </c>
      <c r="G107" s="424">
        <v>0</v>
      </c>
      <c r="H107" s="422">
        <v>0</v>
      </c>
      <c r="I107" s="418">
        <v>0</v>
      </c>
      <c r="J107" s="427">
        <v>0</v>
      </c>
    </row>
    <row r="108" spans="1:10" ht="15" customHeight="1" x14ac:dyDescent="0.25">
      <c r="A108" s="5">
        <v>2</v>
      </c>
      <c r="B108" s="11" t="s">
        <v>77</v>
      </c>
      <c r="C108" s="5" t="s">
        <v>118</v>
      </c>
      <c r="D108" s="124">
        <v>65</v>
      </c>
      <c r="E108" s="426">
        <v>0</v>
      </c>
      <c r="F108" s="425">
        <v>0</v>
      </c>
      <c r="G108" s="424">
        <v>0</v>
      </c>
      <c r="H108" s="422">
        <v>0</v>
      </c>
      <c r="I108" s="418">
        <v>0</v>
      </c>
      <c r="J108" s="427">
        <v>0</v>
      </c>
    </row>
    <row r="109" spans="1:10" ht="15" customHeight="1" x14ac:dyDescent="0.25">
      <c r="A109" s="5">
        <v>3</v>
      </c>
      <c r="B109" s="11" t="s">
        <v>78</v>
      </c>
      <c r="C109" s="5" t="s">
        <v>118</v>
      </c>
      <c r="D109" s="124">
        <v>44</v>
      </c>
      <c r="E109" s="426">
        <v>0</v>
      </c>
      <c r="F109" s="425">
        <v>0</v>
      </c>
      <c r="G109" s="424">
        <v>0</v>
      </c>
      <c r="H109" s="422">
        <v>0</v>
      </c>
      <c r="I109" s="418">
        <v>0</v>
      </c>
      <c r="J109" s="427">
        <v>0</v>
      </c>
    </row>
    <row r="110" spans="1:10" ht="15" customHeight="1" x14ac:dyDescent="0.25">
      <c r="A110" s="5">
        <v>4</v>
      </c>
      <c r="B110" s="11" t="s">
        <v>79</v>
      </c>
      <c r="C110" s="5" t="s">
        <v>118</v>
      </c>
      <c r="D110" s="124">
        <v>98.7</v>
      </c>
      <c r="E110" s="426">
        <v>0</v>
      </c>
      <c r="F110" s="425">
        <v>0</v>
      </c>
      <c r="G110" s="424">
        <v>0</v>
      </c>
      <c r="H110" s="422">
        <v>0</v>
      </c>
      <c r="I110" s="418">
        <v>0</v>
      </c>
      <c r="J110" s="427">
        <v>0</v>
      </c>
    </row>
    <row r="111" spans="1:10" ht="15" customHeight="1" x14ac:dyDescent="0.25">
      <c r="A111" s="475" t="s">
        <v>164</v>
      </c>
      <c r="B111" s="476"/>
      <c r="C111" s="476"/>
      <c r="D111" s="476"/>
      <c r="E111" s="476"/>
      <c r="F111" s="476"/>
      <c r="G111" s="476"/>
      <c r="H111" s="476"/>
      <c r="I111" s="476"/>
      <c r="J111" s="476"/>
    </row>
    <row r="112" spans="1:10" ht="15.75" x14ac:dyDescent="0.25">
      <c r="A112" s="5">
        <v>1</v>
      </c>
      <c r="B112" s="11" t="s">
        <v>76</v>
      </c>
      <c r="C112" s="5" t="s">
        <v>118</v>
      </c>
      <c r="D112" s="124">
        <v>143.56</v>
      </c>
      <c r="E112" s="426">
        <v>0</v>
      </c>
      <c r="F112" s="425">
        <v>0</v>
      </c>
      <c r="G112" s="424">
        <v>0</v>
      </c>
      <c r="H112" s="422">
        <v>0</v>
      </c>
      <c r="I112" s="418">
        <v>0</v>
      </c>
      <c r="J112" s="427">
        <v>0</v>
      </c>
    </row>
    <row r="113" spans="1:10" ht="15.75" x14ac:dyDescent="0.25">
      <c r="A113" s="5">
        <v>2</v>
      </c>
      <c r="B113" s="11" t="s">
        <v>77</v>
      </c>
      <c r="C113" s="5" t="s">
        <v>118</v>
      </c>
      <c r="D113" s="124">
        <v>65</v>
      </c>
      <c r="E113" s="426">
        <v>0</v>
      </c>
      <c r="F113" s="425">
        <v>0</v>
      </c>
      <c r="G113" s="424">
        <v>0</v>
      </c>
      <c r="H113" s="422">
        <v>0</v>
      </c>
      <c r="I113" s="418">
        <v>0</v>
      </c>
      <c r="J113" s="427">
        <v>0</v>
      </c>
    </row>
    <row r="114" spans="1:10" ht="15.75" x14ac:dyDescent="0.25">
      <c r="A114" s="5">
        <v>3</v>
      </c>
      <c r="B114" s="11" t="s">
        <v>78</v>
      </c>
      <c r="C114" s="5" t="s">
        <v>118</v>
      </c>
      <c r="D114" s="124">
        <v>44</v>
      </c>
      <c r="E114" s="426">
        <v>0</v>
      </c>
      <c r="F114" s="425">
        <v>0</v>
      </c>
      <c r="G114" s="424">
        <v>0</v>
      </c>
      <c r="H114" s="422">
        <v>0</v>
      </c>
      <c r="I114" s="418">
        <v>0</v>
      </c>
      <c r="J114" s="427">
        <v>0</v>
      </c>
    </row>
    <row r="115" spans="1:10" ht="15.75" x14ac:dyDescent="0.25">
      <c r="A115" s="5">
        <v>4</v>
      </c>
      <c r="B115" s="11" t="s">
        <v>79</v>
      </c>
      <c r="C115" s="5" t="s">
        <v>118</v>
      </c>
      <c r="D115" s="124">
        <v>98.7</v>
      </c>
      <c r="E115" s="426">
        <v>0</v>
      </c>
      <c r="F115" s="425">
        <v>0</v>
      </c>
      <c r="G115" s="424">
        <v>0</v>
      </c>
      <c r="H115" s="422">
        <v>0</v>
      </c>
      <c r="I115" s="418">
        <v>0</v>
      </c>
      <c r="J115" s="427">
        <v>0</v>
      </c>
    </row>
    <row r="116" spans="1:10" s="53" customFormat="1" x14ac:dyDescent="0.25">
      <c r="A116" s="430"/>
      <c r="B116" s="431"/>
      <c r="C116" s="431"/>
      <c r="D116" s="431"/>
      <c r="E116" s="431"/>
      <c r="F116" s="432"/>
      <c r="G116" s="431"/>
      <c r="H116" s="431"/>
      <c r="I116" s="431"/>
      <c r="J116" s="433"/>
    </row>
    <row r="118" spans="1:10" x14ac:dyDescent="0.25">
      <c r="A118" s="294" t="s">
        <v>160</v>
      </c>
      <c r="B118" s="294"/>
      <c r="C118" s="471" t="s">
        <v>118</v>
      </c>
      <c r="D118" s="471" t="s">
        <v>161</v>
      </c>
      <c r="E118" s="389" t="s">
        <v>162</v>
      </c>
      <c r="F118" s="429" t="s">
        <v>162</v>
      </c>
      <c r="G118" s="390" t="s">
        <v>162</v>
      </c>
      <c r="H118" s="383"/>
      <c r="I118" s="383"/>
      <c r="J118" s="383"/>
    </row>
    <row r="119" spans="1:10" x14ac:dyDescent="0.25">
      <c r="A119" s="128" t="s">
        <v>3</v>
      </c>
      <c r="B119" s="128" t="s">
        <v>4</v>
      </c>
      <c r="C119" s="472"/>
      <c r="D119" s="472"/>
      <c r="E119" s="116" t="s">
        <v>165</v>
      </c>
      <c r="F119" s="428" t="s">
        <v>166</v>
      </c>
      <c r="G119" s="380" t="s">
        <v>167</v>
      </c>
      <c r="H119" s="384"/>
      <c r="I119" s="384"/>
      <c r="J119" s="384"/>
    </row>
    <row r="120" spans="1:10" x14ac:dyDescent="0.25">
      <c r="A120" s="377" t="s">
        <v>163</v>
      </c>
      <c r="B120" s="377"/>
      <c r="C120" s="377"/>
      <c r="D120" s="377"/>
      <c r="E120" s="377"/>
      <c r="F120" s="378"/>
      <c r="G120" s="449"/>
      <c r="H120" s="449"/>
      <c r="I120" s="449"/>
      <c r="J120" s="449"/>
    </row>
    <row r="121" spans="1:10" x14ac:dyDescent="0.25">
      <c r="A121" s="5">
        <v>1</v>
      </c>
      <c r="B121" s="11" t="s">
        <v>76</v>
      </c>
      <c r="C121" s="5" t="s">
        <v>118</v>
      </c>
      <c r="D121" s="124">
        <v>143.56</v>
      </c>
      <c r="E121" s="129">
        <v>0</v>
      </c>
      <c r="F121" s="392">
        <v>0</v>
      </c>
      <c r="G121" s="381">
        <v>0</v>
      </c>
      <c r="H121" s="385"/>
      <c r="I121" s="386"/>
      <c r="J121" s="386"/>
    </row>
    <row r="122" spans="1:10" x14ac:dyDescent="0.25">
      <c r="A122" s="5">
        <v>2</v>
      </c>
      <c r="B122" s="11" t="s">
        <v>77</v>
      </c>
      <c r="C122" s="5" t="s">
        <v>118</v>
      </c>
      <c r="D122" s="124">
        <v>65</v>
      </c>
      <c r="E122" s="129">
        <v>0</v>
      </c>
      <c r="F122" s="392">
        <v>0</v>
      </c>
      <c r="G122" s="130">
        <v>0</v>
      </c>
      <c r="H122" s="49"/>
      <c r="I122" s="379"/>
      <c r="J122" s="379"/>
    </row>
    <row r="123" spans="1:10" x14ac:dyDescent="0.25">
      <c r="A123" s="5">
        <v>3</v>
      </c>
      <c r="B123" s="11" t="s">
        <v>78</v>
      </c>
      <c r="C123" s="5" t="s">
        <v>118</v>
      </c>
      <c r="D123" s="124">
        <v>44</v>
      </c>
      <c r="E123" s="129">
        <v>0</v>
      </c>
      <c r="F123" s="392">
        <v>0</v>
      </c>
      <c r="G123" s="130">
        <v>0</v>
      </c>
      <c r="H123" s="49"/>
      <c r="I123" s="379"/>
      <c r="J123" s="379"/>
    </row>
    <row r="124" spans="1:10" x14ac:dyDescent="0.25">
      <c r="A124" s="5">
        <v>4</v>
      </c>
      <c r="B124" s="11" t="s">
        <v>79</v>
      </c>
      <c r="C124" s="5" t="s">
        <v>118</v>
      </c>
      <c r="D124" s="124">
        <v>98.7</v>
      </c>
      <c r="E124" s="129">
        <v>0</v>
      </c>
      <c r="F124" s="392">
        <v>0</v>
      </c>
      <c r="G124" s="382">
        <v>0</v>
      </c>
      <c r="H124" s="387"/>
      <c r="I124" s="388"/>
      <c r="J124" s="388"/>
    </row>
    <row r="125" spans="1:10" x14ac:dyDescent="0.25">
      <c r="A125" s="377" t="s">
        <v>75</v>
      </c>
      <c r="B125" s="377"/>
      <c r="C125" s="377"/>
      <c r="D125" s="377"/>
      <c r="E125" s="377"/>
      <c r="F125" s="378"/>
      <c r="G125" s="449"/>
      <c r="H125" s="449"/>
      <c r="I125" s="449"/>
      <c r="J125" s="449"/>
    </row>
    <row r="126" spans="1:10" x14ac:dyDescent="0.25">
      <c r="A126" s="5">
        <v>1</v>
      </c>
      <c r="B126" s="11" t="s">
        <v>76</v>
      </c>
      <c r="C126" s="5" t="s">
        <v>118</v>
      </c>
      <c r="D126" s="124">
        <v>143.56</v>
      </c>
      <c r="E126" s="131" t="s">
        <v>168</v>
      </c>
      <c r="F126" s="392">
        <v>0</v>
      </c>
      <c r="G126" s="381">
        <v>0</v>
      </c>
      <c r="H126" s="386"/>
      <c r="I126" s="386"/>
      <c r="J126" s="386"/>
    </row>
    <row r="127" spans="1:10" x14ac:dyDescent="0.25">
      <c r="A127" s="5">
        <v>2</v>
      </c>
      <c r="B127" s="11" t="s">
        <v>77</v>
      </c>
      <c r="C127" s="5" t="s">
        <v>118</v>
      </c>
      <c r="D127" s="124">
        <v>65</v>
      </c>
      <c r="E127" s="131" t="s">
        <v>168</v>
      </c>
      <c r="F127" s="392">
        <v>0</v>
      </c>
      <c r="G127" s="130">
        <v>0</v>
      </c>
      <c r="H127" s="379"/>
      <c r="I127" s="379"/>
      <c r="J127" s="379"/>
    </row>
    <row r="128" spans="1:10" x14ac:dyDescent="0.25">
      <c r="A128" s="5">
        <v>3</v>
      </c>
      <c r="B128" s="11" t="s">
        <v>78</v>
      </c>
      <c r="C128" s="5" t="s">
        <v>118</v>
      </c>
      <c r="D128" s="124">
        <v>44</v>
      </c>
      <c r="E128" s="131" t="s">
        <v>168</v>
      </c>
      <c r="F128" s="392">
        <v>0</v>
      </c>
      <c r="G128" s="130">
        <v>0</v>
      </c>
      <c r="H128" s="379"/>
      <c r="I128" s="379"/>
      <c r="J128" s="379"/>
    </row>
    <row r="129" spans="1:10" x14ac:dyDescent="0.25">
      <c r="A129" s="5">
        <v>4</v>
      </c>
      <c r="B129" s="11" t="s">
        <v>79</v>
      </c>
      <c r="C129" s="5" t="s">
        <v>118</v>
      </c>
      <c r="D129" s="124">
        <v>98.7</v>
      </c>
      <c r="E129" s="131" t="s">
        <v>168</v>
      </c>
      <c r="F129" s="392">
        <v>0</v>
      </c>
      <c r="G129" s="130">
        <v>0</v>
      </c>
      <c r="H129" s="379"/>
      <c r="I129" s="379"/>
      <c r="J129" s="379"/>
    </row>
    <row r="130" spans="1:10" x14ac:dyDescent="0.25">
      <c r="A130" s="465"/>
      <c r="B130" s="466"/>
      <c r="C130" s="466"/>
      <c r="D130" s="466"/>
      <c r="E130" s="466"/>
      <c r="F130" s="466"/>
      <c r="G130" s="466"/>
      <c r="H130" s="466"/>
      <c r="I130" s="466"/>
      <c r="J130" s="467"/>
    </row>
  </sheetData>
  <autoFilter ref="A4:G4" xr:uid="{C6445B73-1158-473B-8ECE-8A8F234BB57E}">
    <sortState xmlns:xlrd2="http://schemas.microsoft.com/office/spreadsheetml/2017/richdata2" ref="A5:G61">
      <sortCondition ref="B4"/>
    </sortState>
  </autoFilter>
  <sortState xmlns:xlrd2="http://schemas.microsoft.com/office/spreadsheetml/2017/richdata2" ref="B6:G107">
    <sortCondition ref="B6:B107"/>
  </sortState>
  <mergeCells count="16">
    <mergeCell ref="A2:J2"/>
    <mergeCell ref="A1:J1"/>
    <mergeCell ref="A3:J3"/>
    <mergeCell ref="A96:J96"/>
    <mergeCell ref="A5:D5"/>
    <mergeCell ref="G120:J120"/>
    <mergeCell ref="G125:J125"/>
    <mergeCell ref="A130:J130"/>
    <mergeCell ref="A102:J102"/>
    <mergeCell ref="C104:C105"/>
    <mergeCell ref="D104:D105"/>
    <mergeCell ref="C118:C119"/>
    <mergeCell ref="D118:D119"/>
    <mergeCell ref="A103:J103"/>
    <mergeCell ref="A106:J106"/>
    <mergeCell ref="A111:J1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D4E6-9296-4C9E-A47A-1CDD1A79FA81}">
  <sheetPr>
    <tabColor rgb="FF375623"/>
  </sheetPr>
  <dimension ref="A1:H128"/>
  <sheetViews>
    <sheetView zoomScale="90" zoomScaleNormal="90" workbookViewId="0">
      <selection activeCell="B93" sqref="B93"/>
    </sheetView>
  </sheetViews>
  <sheetFormatPr defaultRowHeight="15" x14ac:dyDescent="0.25"/>
  <cols>
    <col min="1" max="1" width="9" customWidth="1"/>
    <col min="2" max="2" width="52.42578125" customWidth="1"/>
    <col min="3" max="3" width="16.28515625" customWidth="1"/>
    <col min="4" max="4" width="14" customWidth="1"/>
    <col min="5" max="5" width="11" style="1" customWidth="1"/>
    <col min="6" max="6" width="16" customWidth="1"/>
    <col min="7" max="7" width="32.42578125" bestFit="1" customWidth="1"/>
    <col min="8" max="8" width="9.85546875" bestFit="1" customWidth="1"/>
  </cols>
  <sheetData>
    <row r="1" spans="1:7" ht="18" customHeight="1" x14ac:dyDescent="0.25">
      <c r="A1" s="447" t="s">
        <v>169</v>
      </c>
      <c r="B1" s="447"/>
      <c r="C1" s="447"/>
      <c r="D1" s="447"/>
      <c r="E1" s="447"/>
      <c r="F1" s="447"/>
      <c r="G1" s="447"/>
    </row>
    <row r="2" spans="1:7" ht="18" customHeight="1" x14ac:dyDescent="0.25">
      <c r="A2" s="447" t="s">
        <v>170</v>
      </c>
      <c r="B2" s="447"/>
      <c r="C2" s="447"/>
      <c r="D2" s="447"/>
      <c r="E2" s="447"/>
      <c r="F2" s="447"/>
      <c r="G2" s="447"/>
    </row>
    <row r="3" spans="1:7" ht="18" customHeight="1" x14ac:dyDescent="0.25">
      <c r="A3" s="447" t="s">
        <v>171</v>
      </c>
      <c r="B3" s="447"/>
      <c r="C3" s="447"/>
      <c r="D3" s="447"/>
      <c r="E3" s="447"/>
      <c r="F3" s="447"/>
      <c r="G3" s="447"/>
    </row>
    <row r="4" spans="1:7" x14ac:dyDescent="0.25">
      <c r="A4" s="28" t="s">
        <v>3</v>
      </c>
      <c r="B4" s="28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ht="15" customHeight="1" x14ac:dyDescent="0.25">
      <c r="A5" s="29">
        <v>1</v>
      </c>
      <c r="B5" s="133" t="s">
        <v>10</v>
      </c>
      <c r="C5" s="173">
        <f>'ESTOQUE - SPO'!D6</f>
        <v>126.1</v>
      </c>
      <c r="D5" s="16" t="s">
        <v>11</v>
      </c>
      <c r="E5" s="236">
        <v>60</v>
      </c>
      <c r="F5" s="175">
        <f t="shared" ref="F5:F30" si="0">C5*E5</f>
        <v>7566</v>
      </c>
      <c r="G5" s="132" t="s">
        <v>172</v>
      </c>
    </row>
    <row r="6" spans="1:7" ht="15" customHeight="1" x14ac:dyDescent="0.25">
      <c r="A6" s="29">
        <v>2</v>
      </c>
      <c r="B6" s="138" t="s">
        <v>86</v>
      </c>
      <c r="C6" s="174">
        <f>'ESTOQUE - SPO'!D16</f>
        <v>104.29</v>
      </c>
      <c r="D6" s="141">
        <v>33</v>
      </c>
      <c r="E6" s="236">
        <v>1</v>
      </c>
      <c r="F6" s="175">
        <f t="shared" si="0"/>
        <v>104.29</v>
      </c>
      <c r="G6" s="132"/>
    </row>
    <row r="7" spans="1:7" ht="15" customHeight="1" x14ac:dyDescent="0.25">
      <c r="A7" s="29">
        <v>3</v>
      </c>
      <c r="B7" s="138" t="s">
        <v>86</v>
      </c>
      <c r="C7" s="174">
        <f>'ESTOQUE - SPO'!D17</f>
        <v>104.29</v>
      </c>
      <c r="D7" s="141">
        <v>34</v>
      </c>
      <c r="E7" s="236">
        <v>3</v>
      </c>
      <c r="F7" s="175">
        <f t="shared" si="0"/>
        <v>312.87</v>
      </c>
      <c r="G7" s="132"/>
    </row>
    <row r="8" spans="1:7" ht="15" customHeight="1" x14ac:dyDescent="0.25">
      <c r="A8" s="29">
        <v>4</v>
      </c>
      <c r="B8" s="138" t="s">
        <v>86</v>
      </c>
      <c r="C8" s="174">
        <f>'ESTOQUE - SPO'!D18</f>
        <v>104.29</v>
      </c>
      <c r="D8" s="141">
        <v>35</v>
      </c>
      <c r="E8" s="236">
        <v>5</v>
      </c>
      <c r="F8" s="175">
        <f t="shared" si="0"/>
        <v>521.45000000000005</v>
      </c>
      <c r="G8" s="132" t="s">
        <v>172</v>
      </c>
    </row>
    <row r="9" spans="1:7" ht="15" customHeight="1" x14ac:dyDescent="0.25">
      <c r="A9" s="29">
        <v>5</v>
      </c>
      <c r="B9" s="138" t="s">
        <v>86</v>
      </c>
      <c r="C9" s="174">
        <f>'ESTOQUE - SPO'!D19</f>
        <v>104.29</v>
      </c>
      <c r="D9" s="141">
        <v>36</v>
      </c>
      <c r="E9" s="236">
        <v>5</v>
      </c>
      <c r="F9" s="175">
        <f t="shared" si="0"/>
        <v>521.45000000000005</v>
      </c>
      <c r="G9" s="132" t="s">
        <v>172</v>
      </c>
    </row>
    <row r="10" spans="1:7" ht="15" customHeight="1" x14ac:dyDescent="0.25">
      <c r="A10" s="29">
        <v>6</v>
      </c>
      <c r="B10" s="138" t="s">
        <v>86</v>
      </c>
      <c r="C10" s="174">
        <f>'ESTOQUE - SPO'!D20</f>
        <v>104.29</v>
      </c>
      <c r="D10" s="139">
        <v>37</v>
      </c>
      <c r="E10" s="236">
        <v>10</v>
      </c>
      <c r="F10" s="175">
        <f t="shared" si="0"/>
        <v>1042.9000000000001</v>
      </c>
      <c r="G10" s="132" t="s">
        <v>172</v>
      </c>
    </row>
    <row r="11" spans="1:7" ht="15" customHeight="1" x14ac:dyDescent="0.25">
      <c r="A11" s="29">
        <v>7</v>
      </c>
      <c r="B11" s="138" t="s">
        <v>86</v>
      </c>
      <c r="C11" s="174">
        <f>'ESTOQUE - SPO'!D21</f>
        <v>104.29</v>
      </c>
      <c r="D11" s="135">
        <v>38</v>
      </c>
      <c r="E11" s="236">
        <v>10</v>
      </c>
      <c r="F11" s="175">
        <f t="shared" si="0"/>
        <v>1042.9000000000001</v>
      </c>
      <c r="G11" s="132" t="s">
        <v>172</v>
      </c>
    </row>
    <row r="12" spans="1:7" ht="15" customHeight="1" x14ac:dyDescent="0.25">
      <c r="A12" s="29">
        <v>8</v>
      </c>
      <c r="B12" s="138" t="s">
        <v>86</v>
      </c>
      <c r="C12" s="174">
        <f>'ESTOQUE - SPO'!D22</f>
        <v>104.29</v>
      </c>
      <c r="D12" s="141">
        <v>39</v>
      </c>
      <c r="E12" s="236">
        <v>10</v>
      </c>
      <c r="F12" s="175">
        <f t="shared" si="0"/>
        <v>1042.9000000000001</v>
      </c>
      <c r="G12" s="132" t="s">
        <v>172</v>
      </c>
    </row>
    <row r="13" spans="1:7" ht="15" customHeight="1" x14ac:dyDescent="0.25">
      <c r="A13" s="29">
        <v>9</v>
      </c>
      <c r="B13" s="138" t="s">
        <v>86</v>
      </c>
      <c r="C13" s="174">
        <f>'ESTOQUE - SPO'!D23</f>
        <v>104.29</v>
      </c>
      <c r="D13" s="141">
        <v>40</v>
      </c>
      <c r="E13" s="236">
        <v>15</v>
      </c>
      <c r="F13" s="175">
        <f t="shared" si="0"/>
        <v>1564.3500000000001</v>
      </c>
      <c r="G13" s="132" t="s">
        <v>172</v>
      </c>
    </row>
    <row r="14" spans="1:7" ht="15" customHeight="1" x14ac:dyDescent="0.25">
      <c r="A14" s="29">
        <v>10</v>
      </c>
      <c r="B14" s="138" t="s">
        <v>86</v>
      </c>
      <c r="C14" s="174">
        <f>'ESTOQUE - SPO'!D24</f>
        <v>104.29</v>
      </c>
      <c r="D14" s="139">
        <v>41</v>
      </c>
      <c r="E14" s="236">
        <v>15</v>
      </c>
      <c r="F14" s="175">
        <f t="shared" si="0"/>
        <v>1564.3500000000001</v>
      </c>
      <c r="G14" s="132" t="s">
        <v>172</v>
      </c>
    </row>
    <row r="15" spans="1:7" ht="15" customHeight="1" x14ac:dyDescent="0.25">
      <c r="A15" s="29">
        <v>11</v>
      </c>
      <c r="B15" s="138" t="s">
        <v>86</v>
      </c>
      <c r="C15" s="174">
        <f>'ESTOQUE - SPO'!D25</f>
        <v>104.29</v>
      </c>
      <c r="D15" s="139">
        <v>42</v>
      </c>
      <c r="E15" s="236">
        <v>15</v>
      </c>
      <c r="F15" s="175">
        <f t="shared" si="0"/>
        <v>1564.3500000000001</v>
      </c>
      <c r="G15" s="132" t="s">
        <v>172</v>
      </c>
    </row>
    <row r="16" spans="1:7" ht="15" customHeight="1" x14ac:dyDescent="0.25">
      <c r="A16" s="29">
        <v>12</v>
      </c>
      <c r="B16" s="138" t="s">
        <v>86</v>
      </c>
      <c r="C16" s="174">
        <f>'ESTOQUE - SPO'!D26</f>
        <v>104.29</v>
      </c>
      <c r="D16" s="139">
        <v>43</v>
      </c>
      <c r="E16" s="236">
        <v>10</v>
      </c>
      <c r="F16" s="175">
        <f t="shared" si="0"/>
        <v>1042.9000000000001</v>
      </c>
      <c r="G16" s="132" t="s">
        <v>172</v>
      </c>
    </row>
    <row r="17" spans="1:7" ht="15" customHeight="1" x14ac:dyDescent="0.25">
      <c r="A17" s="29">
        <v>13</v>
      </c>
      <c r="B17" s="138" t="s">
        <v>86</v>
      </c>
      <c r="C17" s="174">
        <f>'ESTOQUE - SPO'!D27</f>
        <v>104.29</v>
      </c>
      <c r="D17" s="139">
        <v>44</v>
      </c>
      <c r="E17" s="236">
        <v>8</v>
      </c>
      <c r="F17" s="175">
        <f t="shared" si="0"/>
        <v>834.32</v>
      </c>
      <c r="G17" s="132" t="s">
        <v>172</v>
      </c>
    </row>
    <row r="18" spans="1:7" ht="15" customHeight="1" x14ac:dyDescent="0.25">
      <c r="A18" s="29">
        <v>14</v>
      </c>
      <c r="B18" s="138" t="s">
        <v>86</v>
      </c>
      <c r="C18" s="174">
        <f>'ESTOQUE - SPO'!D28</f>
        <v>104.29</v>
      </c>
      <c r="D18" s="139">
        <v>45</v>
      </c>
      <c r="E18" s="236">
        <v>2</v>
      </c>
      <c r="F18" s="175">
        <f t="shared" si="0"/>
        <v>208.58</v>
      </c>
      <c r="G18" s="132" t="s">
        <v>172</v>
      </c>
    </row>
    <row r="19" spans="1:7" ht="15" customHeight="1" x14ac:dyDescent="0.25">
      <c r="A19" s="29">
        <v>15</v>
      </c>
      <c r="B19" s="138" t="s">
        <v>86</v>
      </c>
      <c r="C19" s="174">
        <f>'ESTOQUE - SPO'!D29</f>
        <v>104.29</v>
      </c>
      <c r="D19" s="139">
        <v>46</v>
      </c>
      <c r="E19" s="236">
        <v>2</v>
      </c>
      <c r="F19" s="175">
        <f t="shared" si="0"/>
        <v>208.58</v>
      </c>
      <c r="G19" s="132" t="s">
        <v>172</v>
      </c>
    </row>
    <row r="20" spans="1:7" ht="15" customHeight="1" x14ac:dyDescent="0.25">
      <c r="A20" s="29">
        <v>16</v>
      </c>
      <c r="B20" s="142" t="s">
        <v>87</v>
      </c>
      <c r="C20" s="175">
        <f>'ESTOQUE - SPO'!D32</f>
        <v>40</v>
      </c>
      <c r="D20" s="139" t="s">
        <v>31</v>
      </c>
      <c r="E20" s="236">
        <v>15</v>
      </c>
      <c r="F20" s="175">
        <f t="shared" si="0"/>
        <v>600</v>
      </c>
      <c r="G20" s="132" t="s">
        <v>172</v>
      </c>
    </row>
    <row r="21" spans="1:7" ht="15" customHeight="1" x14ac:dyDescent="0.25">
      <c r="A21" s="29">
        <v>17</v>
      </c>
      <c r="B21" s="142" t="s">
        <v>87</v>
      </c>
      <c r="C21" s="175">
        <f>'ESTOQUE - SPO'!D33</f>
        <v>40</v>
      </c>
      <c r="D21" s="139" t="s">
        <v>28</v>
      </c>
      <c r="E21" s="236">
        <v>15</v>
      </c>
      <c r="F21" s="175">
        <f t="shared" si="0"/>
        <v>600</v>
      </c>
      <c r="G21" s="132" t="s">
        <v>172</v>
      </c>
    </row>
    <row r="22" spans="1:7" ht="15" customHeight="1" x14ac:dyDescent="0.25">
      <c r="A22" s="29">
        <v>18</v>
      </c>
      <c r="B22" s="142" t="s">
        <v>87</v>
      </c>
      <c r="C22" s="175">
        <f>'ESTOQUE - SPO'!D34</f>
        <v>40</v>
      </c>
      <c r="D22" s="135" t="s">
        <v>29</v>
      </c>
      <c r="E22" s="236">
        <v>16</v>
      </c>
      <c r="F22" s="175">
        <f t="shared" si="0"/>
        <v>640</v>
      </c>
      <c r="G22" s="132" t="s">
        <v>172</v>
      </c>
    </row>
    <row r="23" spans="1:7" ht="15" customHeight="1" x14ac:dyDescent="0.25">
      <c r="A23" s="29">
        <v>19</v>
      </c>
      <c r="B23" s="142" t="s">
        <v>87</v>
      </c>
      <c r="C23" s="175">
        <f>'ESTOQUE - SPO'!D35</f>
        <v>40</v>
      </c>
      <c r="D23" s="139" t="s">
        <v>37</v>
      </c>
      <c r="E23" s="236">
        <v>15</v>
      </c>
      <c r="F23" s="175">
        <f t="shared" si="0"/>
        <v>600</v>
      </c>
      <c r="G23" s="132" t="s">
        <v>172</v>
      </c>
    </row>
    <row r="24" spans="1:7" ht="15" customHeight="1" x14ac:dyDescent="0.25">
      <c r="A24" s="29">
        <v>20</v>
      </c>
      <c r="B24" s="133" t="s">
        <v>38</v>
      </c>
      <c r="C24" s="173">
        <f>'ESTOQUE - SPO'!D36</f>
        <v>75</v>
      </c>
      <c r="D24" s="16" t="s">
        <v>11</v>
      </c>
      <c r="E24" s="236">
        <v>25</v>
      </c>
      <c r="F24" s="175">
        <f t="shared" si="0"/>
        <v>1875</v>
      </c>
      <c r="G24" s="132" t="s">
        <v>172</v>
      </c>
    </row>
    <row r="25" spans="1:7" ht="15" customHeight="1" x14ac:dyDescent="0.25">
      <c r="A25" s="29">
        <v>21</v>
      </c>
      <c r="B25" s="133" t="s">
        <v>173</v>
      </c>
      <c r="C25" s="173">
        <f>'ESTOQUE - SPO'!D37</f>
        <v>48.25</v>
      </c>
      <c r="D25" s="16" t="s">
        <v>11</v>
      </c>
      <c r="E25" s="236">
        <v>30</v>
      </c>
      <c r="F25" s="175">
        <f t="shared" si="0"/>
        <v>1447.5</v>
      </c>
      <c r="G25" s="132"/>
    </row>
    <row r="26" spans="1:7" ht="15" customHeight="1" x14ac:dyDescent="0.25">
      <c r="A26" s="29">
        <v>22</v>
      </c>
      <c r="B26" s="138" t="s">
        <v>40</v>
      </c>
      <c r="C26" s="174"/>
      <c r="D26" s="16" t="s">
        <v>11</v>
      </c>
      <c r="E26" s="236">
        <v>30</v>
      </c>
      <c r="F26" s="175">
        <f t="shared" si="0"/>
        <v>0</v>
      </c>
      <c r="G26" s="132" t="s">
        <v>172</v>
      </c>
    </row>
    <row r="27" spans="1:7" ht="15" customHeight="1" x14ac:dyDescent="0.25">
      <c r="A27" s="29">
        <v>23</v>
      </c>
      <c r="B27" s="133" t="s">
        <v>125</v>
      </c>
      <c r="C27" s="173">
        <f>'ESTOQUE - SPO'!D40</f>
        <v>584.20000000000005</v>
      </c>
      <c r="D27" s="16" t="s">
        <v>11</v>
      </c>
      <c r="E27" s="236">
        <v>20</v>
      </c>
      <c r="F27" s="175">
        <f t="shared" si="0"/>
        <v>11684</v>
      </c>
      <c r="G27" s="132" t="s">
        <v>172</v>
      </c>
    </row>
    <row r="28" spans="1:7" ht="15" customHeight="1" x14ac:dyDescent="0.25">
      <c r="A28" s="29">
        <v>24</v>
      </c>
      <c r="B28" s="132" t="s">
        <v>42</v>
      </c>
      <c r="C28" s="175">
        <f>'ESTOQUE - SPO'!D42</f>
        <v>21</v>
      </c>
      <c r="D28" s="16" t="s">
        <v>11</v>
      </c>
      <c r="E28" s="236">
        <v>100</v>
      </c>
      <c r="F28" s="175">
        <f t="shared" si="0"/>
        <v>2100</v>
      </c>
      <c r="G28" s="132" t="s">
        <v>172</v>
      </c>
    </row>
    <row r="29" spans="1:7" ht="15" customHeight="1" x14ac:dyDescent="0.25">
      <c r="A29" s="29">
        <v>25</v>
      </c>
      <c r="B29" s="132" t="s">
        <v>127</v>
      </c>
      <c r="C29" s="175">
        <f>'ESTOQUE - SPO'!D43</f>
        <v>39</v>
      </c>
      <c r="D29" s="16" t="s">
        <v>11</v>
      </c>
      <c r="E29" s="236">
        <v>35</v>
      </c>
      <c r="F29" s="175">
        <f t="shared" si="0"/>
        <v>1365</v>
      </c>
      <c r="G29" s="132" t="s">
        <v>172</v>
      </c>
    </row>
    <row r="30" spans="1:7" ht="15" customHeight="1" x14ac:dyDescent="0.25">
      <c r="A30" s="29">
        <v>26</v>
      </c>
      <c r="B30" s="138" t="s">
        <v>90</v>
      </c>
      <c r="C30" s="174">
        <f>'ESTOQUE - SPO'!D46</f>
        <v>28.94</v>
      </c>
      <c r="D30" s="135" t="s">
        <v>172</v>
      </c>
      <c r="E30" s="236">
        <v>12</v>
      </c>
      <c r="F30" s="175">
        <f t="shared" si="0"/>
        <v>347.28000000000003</v>
      </c>
      <c r="G30" s="132" t="s">
        <v>172</v>
      </c>
    </row>
    <row r="31" spans="1:7" ht="15" customHeight="1" x14ac:dyDescent="0.25">
      <c r="A31" s="29">
        <v>27</v>
      </c>
      <c r="B31" s="138" t="s">
        <v>174</v>
      </c>
      <c r="C31" s="174"/>
      <c r="D31" s="135"/>
      <c r="E31" s="236">
        <v>15</v>
      </c>
      <c r="F31" s="175"/>
      <c r="G31" s="132"/>
    </row>
    <row r="32" spans="1:7" ht="15" customHeight="1" x14ac:dyDescent="0.25">
      <c r="A32" s="29">
        <v>28</v>
      </c>
      <c r="B32" s="133" t="s">
        <v>175</v>
      </c>
      <c r="C32" s="173">
        <f>'ESTOQUE - SPO'!D60</f>
        <v>0</v>
      </c>
      <c r="D32" s="16" t="s">
        <v>11</v>
      </c>
      <c r="E32" s="236">
        <v>35</v>
      </c>
      <c r="F32" s="175">
        <f>C32*E32</f>
        <v>0</v>
      </c>
      <c r="G32" s="132" t="s">
        <v>172</v>
      </c>
    </row>
    <row r="33" spans="1:8" ht="15" customHeight="1" x14ac:dyDescent="0.25">
      <c r="A33" s="29">
        <v>29</v>
      </c>
      <c r="B33" s="239" t="s">
        <v>176</v>
      </c>
      <c r="C33" s="175">
        <v>30.66</v>
      </c>
      <c r="D33" s="16" t="s">
        <v>31</v>
      </c>
      <c r="E33" s="236">
        <v>200</v>
      </c>
      <c r="F33" s="175">
        <f>C32*E33</f>
        <v>0</v>
      </c>
      <c r="G33" s="132"/>
    </row>
    <row r="34" spans="1:8" ht="15" customHeight="1" x14ac:dyDescent="0.25">
      <c r="A34" s="29">
        <v>30</v>
      </c>
      <c r="B34" s="239" t="s">
        <v>176</v>
      </c>
      <c r="C34" s="175">
        <v>30.66</v>
      </c>
      <c r="D34" s="16" t="s">
        <v>28</v>
      </c>
      <c r="E34" s="236">
        <v>150</v>
      </c>
      <c r="F34" s="175">
        <f>C32*E34</f>
        <v>0</v>
      </c>
      <c r="G34" s="132"/>
    </row>
    <row r="35" spans="1:8" ht="15" customHeight="1" x14ac:dyDescent="0.25">
      <c r="A35" s="29">
        <v>31</v>
      </c>
      <c r="B35" s="239" t="s">
        <v>176</v>
      </c>
      <c r="C35" s="175">
        <v>30.66</v>
      </c>
      <c r="D35" s="16" t="s">
        <v>29</v>
      </c>
      <c r="E35" s="236">
        <v>180</v>
      </c>
      <c r="F35" s="175">
        <f>C32*E35</f>
        <v>0</v>
      </c>
      <c r="G35" s="132"/>
    </row>
    <row r="36" spans="1:8" ht="15" customHeight="1" x14ac:dyDescent="0.25">
      <c r="A36" s="29">
        <v>32</v>
      </c>
      <c r="B36" s="239" t="s">
        <v>176</v>
      </c>
      <c r="C36" s="175">
        <v>30.66</v>
      </c>
      <c r="D36" s="16" t="s">
        <v>32</v>
      </c>
      <c r="E36" s="236">
        <v>200</v>
      </c>
      <c r="F36" s="175">
        <f>C32*E36</f>
        <v>0</v>
      </c>
      <c r="G36" s="132"/>
    </row>
    <row r="37" spans="1:8" ht="15" customHeight="1" x14ac:dyDescent="0.25">
      <c r="A37" s="29">
        <v>33</v>
      </c>
      <c r="B37" s="138" t="s">
        <v>96</v>
      </c>
      <c r="C37" s="174">
        <f>'ESTOQUE - SPO'!D55</f>
        <v>35.89</v>
      </c>
      <c r="D37" s="135" t="s">
        <v>172</v>
      </c>
      <c r="E37" s="236">
        <v>120</v>
      </c>
      <c r="F37" s="175">
        <f t="shared" ref="F37:F47" si="1">C37*E37</f>
        <v>4306.8</v>
      </c>
      <c r="G37" s="132" t="s">
        <v>172</v>
      </c>
    </row>
    <row r="38" spans="1:8" ht="15" customHeight="1" x14ac:dyDescent="0.25">
      <c r="A38" s="29">
        <v>34</v>
      </c>
      <c r="B38" s="132" t="s">
        <v>63</v>
      </c>
      <c r="C38" s="175">
        <f>'ESTOQUE - SPO'!D71</f>
        <v>9</v>
      </c>
      <c r="D38" s="16" t="s">
        <v>11</v>
      </c>
      <c r="E38" s="236">
        <v>150</v>
      </c>
      <c r="F38" s="175">
        <f t="shared" si="1"/>
        <v>1350</v>
      </c>
      <c r="G38" s="132"/>
    </row>
    <row r="39" spans="1:8" ht="15" customHeight="1" x14ac:dyDescent="0.25">
      <c r="A39" s="29">
        <v>35</v>
      </c>
      <c r="B39" s="138" t="s">
        <v>64</v>
      </c>
      <c r="C39" s="174">
        <f>'ESTOQUE - SPO'!D70</f>
        <v>8.08</v>
      </c>
      <c r="D39" s="16" t="s">
        <v>11</v>
      </c>
      <c r="E39" s="236">
        <v>140</v>
      </c>
      <c r="F39" s="175">
        <f t="shared" si="1"/>
        <v>1131.2</v>
      </c>
      <c r="G39" s="132" t="s">
        <v>172</v>
      </c>
    </row>
    <row r="40" spans="1:8" ht="15" customHeight="1" x14ac:dyDescent="0.25">
      <c r="A40" s="29">
        <v>36</v>
      </c>
      <c r="B40" s="132" t="s">
        <v>177</v>
      </c>
      <c r="C40" s="175">
        <f>'ESTOQUE - SPO'!D73</f>
        <v>0</v>
      </c>
      <c r="D40" s="16" t="s">
        <v>11</v>
      </c>
      <c r="E40" s="236">
        <v>50</v>
      </c>
      <c r="F40" s="175">
        <f t="shared" si="1"/>
        <v>0</v>
      </c>
      <c r="G40" s="132"/>
    </row>
    <row r="41" spans="1:8" ht="15" customHeight="1" x14ac:dyDescent="0.25">
      <c r="A41" s="29">
        <v>37</v>
      </c>
      <c r="B41" s="132" t="s">
        <v>178</v>
      </c>
      <c r="C41" s="175">
        <f>'ESTOQUE - SPO'!D73</f>
        <v>0</v>
      </c>
      <c r="D41" s="16" t="s">
        <v>11</v>
      </c>
      <c r="E41" s="236">
        <v>50</v>
      </c>
      <c r="F41" s="175">
        <f t="shared" si="1"/>
        <v>0</v>
      </c>
      <c r="G41" s="132"/>
    </row>
    <row r="42" spans="1:8" ht="15" customHeight="1" x14ac:dyDescent="0.25">
      <c r="A42" s="29">
        <v>39</v>
      </c>
      <c r="B42" s="74" t="s">
        <v>144</v>
      </c>
      <c r="C42" s="178">
        <v>41.39</v>
      </c>
      <c r="D42" s="5" t="s">
        <v>11</v>
      </c>
      <c r="E42" s="237">
        <v>8</v>
      </c>
      <c r="F42" s="185">
        <f t="shared" si="1"/>
        <v>331.12</v>
      </c>
      <c r="G42" s="6"/>
    </row>
    <row r="43" spans="1:8" ht="15" customHeight="1" x14ac:dyDescent="0.25">
      <c r="A43" s="29">
        <v>40</v>
      </c>
      <c r="B43" s="434" t="s">
        <v>179</v>
      </c>
      <c r="C43" s="124">
        <v>24.55</v>
      </c>
      <c r="D43" s="16" t="s">
        <v>11</v>
      </c>
      <c r="E43" s="236">
        <v>150</v>
      </c>
      <c r="F43" s="175">
        <f t="shared" si="1"/>
        <v>3682.5</v>
      </c>
      <c r="G43" s="132"/>
    </row>
    <row r="44" spans="1:8" ht="15" customHeight="1" x14ac:dyDescent="0.25">
      <c r="A44" s="29">
        <v>41</v>
      </c>
      <c r="B44" s="133" t="s">
        <v>69</v>
      </c>
      <c r="C44" s="173">
        <f>'ESTOQUE - SPO'!D92</f>
        <v>280.39</v>
      </c>
      <c r="D44" s="16" t="s">
        <v>11</v>
      </c>
      <c r="E44" s="236">
        <v>20</v>
      </c>
      <c r="F44" s="175">
        <f t="shared" si="1"/>
        <v>5607.7999999999993</v>
      </c>
      <c r="G44" s="132" t="s">
        <v>172</v>
      </c>
    </row>
    <row r="45" spans="1:8" ht="15" customHeight="1" x14ac:dyDescent="0.25">
      <c r="A45" s="29">
        <v>42</v>
      </c>
      <c r="B45" s="133" t="s">
        <v>70</v>
      </c>
      <c r="C45" s="173">
        <f>'ESTOQUE - SPO'!D93</f>
        <v>0</v>
      </c>
      <c r="D45" s="16" t="s">
        <v>11</v>
      </c>
      <c r="E45" s="236">
        <v>50</v>
      </c>
      <c r="F45" s="175">
        <f t="shared" si="1"/>
        <v>0</v>
      </c>
      <c r="G45" s="132" t="s">
        <v>172</v>
      </c>
    </row>
    <row r="46" spans="1:8" ht="15" customHeight="1" x14ac:dyDescent="0.25">
      <c r="A46" s="29">
        <v>43</v>
      </c>
      <c r="B46" s="133" t="s">
        <v>71</v>
      </c>
      <c r="C46" s="173" t="e">
        <f>'ESTOQUE - SPO'!#REF!</f>
        <v>#REF!</v>
      </c>
      <c r="D46" s="16" t="s">
        <v>11</v>
      </c>
      <c r="E46" s="236">
        <v>10</v>
      </c>
      <c r="F46" s="175" t="e">
        <f t="shared" si="1"/>
        <v>#REF!</v>
      </c>
      <c r="G46" s="132" t="s">
        <v>180</v>
      </c>
    </row>
    <row r="47" spans="1:8" ht="15" customHeight="1" x14ac:dyDescent="0.25">
      <c r="A47" s="29">
        <v>44</v>
      </c>
      <c r="B47" s="133" t="s">
        <v>73</v>
      </c>
      <c r="C47" s="173" t="e">
        <f>'ESTOQUE - SPO'!#REF!</f>
        <v>#REF!</v>
      </c>
      <c r="D47" s="16" t="s">
        <v>11</v>
      </c>
      <c r="E47" s="236">
        <v>15</v>
      </c>
      <c r="F47" s="175" t="e">
        <f t="shared" si="1"/>
        <v>#REF!</v>
      </c>
      <c r="G47" s="132"/>
      <c r="H47" s="104"/>
    </row>
    <row r="48" spans="1:8" ht="15" customHeight="1" x14ac:dyDescent="0.25">
      <c r="A48" s="29">
        <v>45</v>
      </c>
      <c r="B48" s="133" t="s">
        <v>103</v>
      </c>
      <c r="C48" s="173"/>
      <c r="D48" s="16"/>
      <c r="E48" s="236">
        <v>30</v>
      </c>
      <c r="F48" s="175"/>
      <c r="G48" s="132"/>
      <c r="H48" s="104"/>
    </row>
    <row r="49" spans="1:8" ht="15" customHeight="1" x14ac:dyDescent="0.25">
      <c r="A49" s="29">
        <v>46</v>
      </c>
      <c r="B49" s="9" t="s">
        <v>146</v>
      </c>
      <c r="C49" s="173"/>
      <c r="D49" s="16"/>
      <c r="E49" s="236">
        <v>10</v>
      </c>
      <c r="F49" s="175"/>
      <c r="G49" s="132"/>
      <c r="H49" s="104"/>
    </row>
    <row r="50" spans="1:8" ht="15" customHeight="1" x14ac:dyDescent="0.25">
      <c r="A50" s="121"/>
      <c r="B50" s="144"/>
      <c r="C50" s="144"/>
      <c r="D50" s="140"/>
      <c r="E50" s="145"/>
      <c r="F50" s="146" t="e">
        <f>SUM(F5:F47)</f>
        <v>#REF!</v>
      </c>
      <c r="G50" s="140"/>
      <c r="H50" s="104"/>
    </row>
    <row r="51" spans="1:8" ht="18" customHeight="1" x14ac:dyDescent="0.25">
      <c r="A51" s="490"/>
      <c r="B51" s="450"/>
      <c r="C51" s="450"/>
      <c r="D51" s="450"/>
      <c r="E51" s="450"/>
      <c r="F51" s="450"/>
      <c r="G51" s="491"/>
      <c r="H51" s="104"/>
    </row>
    <row r="52" spans="1:8" ht="16.5" customHeight="1" x14ac:dyDescent="0.25">
      <c r="A52" s="486" t="s">
        <v>181</v>
      </c>
      <c r="B52" s="486"/>
      <c r="C52" s="486"/>
      <c r="D52" s="486"/>
      <c r="E52" s="486"/>
      <c r="F52" s="486"/>
      <c r="G52" s="487"/>
      <c r="H52" s="104"/>
    </row>
    <row r="53" spans="1:8" ht="13.5" customHeight="1" x14ac:dyDescent="0.25">
      <c r="A53" s="120" t="s">
        <v>3</v>
      </c>
      <c r="B53" s="120" t="s">
        <v>4</v>
      </c>
      <c r="C53" s="120" t="s">
        <v>5</v>
      </c>
      <c r="D53" s="118" t="s">
        <v>6</v>
      </c>
      <c r="E53" s="118" t="s">
        <v>7</v>
      </c>
      <c r="F53" s="118" t="s">
        <v>8</v>
      </c>
      <c r="G53" s="118" t="s">
        <v>9</v>
      </c>
      <c r="H53" s="104"/>
    </row>
    <row r="54" spans="1:8" ht="15" customHeight="1" x14ac:dyDescent="0.25">
      <c r="A54" s="489" t="s">
        <v>75</v>
      </c>
      <c r="B54" s="489"/>
      <c r="C54" s="489"/>
      <c r="D54" s="489"/>
      <c r="E54" s="489"/>
      <c r="F54" s="489"/>
      <c r="G54" s="489"/>
    </row>
    <row r="55" spans="1:8" ht="15.75" customHeight="1" x14ac:dyDescent="0.25">
      <c r="A55" s="29">
        <v>1</v>
      </c>
      <c r="B55" s="133" t="s">
        <v>76</v>
      </c>
      <c r="C55" s="134">
        <v>143.56</v>
      </c>
      <c r="D55" s="5" t="s">
        <v>11</v>
      </c>
      <c r="E55" s="404">
        <v>12</v>
      </c>
      <c r="F55" s="175">
        <f>C55*E55</f>
        <v>1722.72</v>
      </c>
      <c r="G55" s="132"/>
    </row>
    <row r="56" spans="1:8" ht="15.75" customHeight="1" x14ac:dyDescent="0.25">
      <c r="A56" s="29">
        <v>2</v>
      </c>
      <c r="B56" s="133" t="s">
        <v>77</v>
      </c>
      <c r="C56" s="134">
        <v>65</v>
      </c>
      <c r="D56" s="5" t="s">
        <v>11</v>
      </c>
      <c r="E56" s="404">
        <v>203</v>
      </c>
      <c r="F56" s="175">
        <f t="shared" ref="F56:F58" si="2">C56*E56</f>
        <v>13195</v>
      </c>
      <c r="G56" s="132"/>
    </row>
    <row r="57" spans="1:8" ht="15.75" customHeight="1" x14ac:dyDescent="0.25">
      <c r="A57" s="29">
        <v>3</v>
      </c>
      <c r="B57" s="133" t="s">
        <v>78</v>
      </c>
      <c r="C57" s="134">
        <v>44</v>
      </c>
      <c r="D57" s="5" t="s">
        <v>11</v>
      </c>
      <c r="E57" s="405">
        <v>102</v>
      </c>
      <c r="F57" s="175">
        <f t="shared" si="2"/>
        <v>4488</v>
      </c>
      <c r="G57" s="132"/>
    </row>
    <row r="58" spans="1:8" ht="15.75" customHeight="1" x14ac:dyDescent="0.25">
      <c r="A58" s="29">
        <v>4</v>
      </c>
      <c r="B58" s="133" t="s">
        <v>79</v>
      </c>
      <c r="C58" s="134">
        <v>98.7</v>
      </c>
      <c r="D58" s="5" t="s">
        <v>11</v>
      </c>
      <c r="E58" s="405">
        <v>67</v>
      </c>
      <c r="F58" s="175">
        <f t="shared" si="2"/>
        <v>6612.9000000000005</v>
      </c>
      <c r="G58" s="132"/>
    </row>
    <row r="59" spans="1:8" ht="15.75" customHeight="1" x14ac:dyDescent="0.25">
      <c r="A59" s="489" t="s">
        <v>163</v>
      </c>
      <c r="B59" s="489"/>
      <c r="C59" s="489"/>
      <c r="D59" s="489"/>
      <c r="E59" s="489"/>
      <c r="F59" s="489"/>
      <c r="G59" s="489"/>
    </row>
    <row r="60" spans="1:8" ht="15.75" customHeight="1" x14ac:dyDescent="0.25">
      <c r="A60" s="29">
        <v>1</v>
      </c>
      <c r="B60" s="133" t="s">
        <v>76</v>
      </c>
      <c r="C60" s="134">
        <v>143.56</v>
      </c>
      <c r="D60" s="5" t="s">
        <v>11</v>
      </c>
      <c r="E60" s="135">
        <v>5</v>
      </c>
      <c r="F60" s="176">
        <f>C60*E60</f>
        <v>717.8</v>
      </c>
      <c r="G60" s="136" t="s">
        <v>182</v>
      </c>
    </row>
    <row r="61" spans="1:8" ht="15.75" customHeight="1" x14ac:dyDescent="0.25">
      <c r="A61" s="29">
        <v>2</v>
      </c>
      <c r="B61" s="133" t="s">
        <v>77</v>
      </c>
      <c r="C61" s="134">
        <v>65</v>
      </c>
      <c r="D61" s="5" t="s">
        <v>11</v>
      </c>
      <c r="E61" s="243">
        <v>86</v>
      </c>
      <c r="F61" s="176">
        <f>C61*E61</f>
        <v>5590</v>
      </c>
      <c r="G61" s="136" t="s">
        <v>182</v>
      </c>
    </row>
    <row r="62" spans="1:8" ht="15.75" customHeight="1" x14ac:dyDescent="0.25">
      <c r="A62" s="29">
        <v>3</v>
      </c>
      <c r="B62" s="133" t="s">
        <v>78</v>
      </c>
      <c r="C62" s="134">
        <v>44</v>
      </c>
      <c r="D62" s="5" t="s">
        <v>11</v>
      </c>
      <c r="E62" s="135">
        <v>2</v>
      </c>
      <c r="F62" s="176">
        <f>C62*E62</f>
        <v>88</v>
      </c>
      <c r="G62" s="136" t="s">
        <v>182</v>
      </c>
    </row>
    <row r="63" spans="1:8" ht="15.75" customHeight="1" x14ac:dyDescent="0.25">
      <c r="A63" s="29">
        <v>4</v>
      </c>
      <c r="B63" s="133" t="s">
        <v>79</v>
      </c>
      <c r="C63" s="134">
        <v>98.7</v>
      </c>
      <c r="D63" s="5" t="s">
        <v>11</v>
      </c>
      <c r="E63" s="135">
        <v>85</v>
      </c>
      <c r="F63" s="176">
        <f t="shared" ref="F63" si="3">C63*E63</f>
        <v>8389.5</v>
      </c>
      <c r="G63" s="136" t="s">
        <v>182</v>
      </c>
    </row>
    <row r="64" spans="1:8" x14ac:dyDescent="0.25">
      <c r="A64" s="121"/>
      <c r="B64" s="144"/>
      <c r="C64" s="144"/>
      <c r="D64" s="140"/>
      <c r="E64" s="145"/>
      <c r="F64" s="146" cm="1">
        <f t="array" ref="F64">SUM(F55:F58+F60:F63)</f>
        <v>40803.919999999998</v>
      </c>
      <c r="G64" s="140"/>
    </row>
    <row r="65" spans="1:8" x14ac:dyDescent="0.25">
      <c r="A65" s="488" t="s">
        <v>183</v>
      </c>
      <c r="B65" s="489"/>
      <c r="C65" s="489"/>
      <c r="D65" s="489"/>
      <c r="E65" s="489"/>
      <c r="F65" s="489"/>
      <c r="G65" s="489"/>
    </row>
    <row r="66" spans="1:8" x14ac:dyDescent="0.25">
      <c r="A66" s="29">
        <v>1</v>
      </c>
      <c r="B66" s="133" t="s">
        <v>76</v>
      </c>
      <c r="C66" s="134">
        <v>143.56</v>
      </c>
      <c r="D66" s="5" t="s">
        <v>11</v>
      </c>
      <c r="E66" s="236">
        <v>53</v>
      </c>
      <c r="F66" s="176">
        <f>C66*E66</f>
        <v>7608.68</v>
      </c>
      <c r="G66" s="136" t="s">
        <v>184</v>
      </c>
    </row>
    <row r="67" spans="1:8" x14ac:dyDescent="0.25">
      <c r="A67" s="29">
        <v>2</v>
      </c>
      <c r="B67" s="133" t="s">
        <v>77</v>
      </c>
      <c r="C67" s="134">
        <v>65</v>
      </c>
      <c r="D67" s="5" t="s">
        <v>11</v>
      </c>
      <c r="E67" s="240">
        <v>183</v>
      </c>
      <c r="F67" s="176">
        <f t="shared" ref="F67:F69" si="4">C67*E67</f>
        <v>11895</v>
      </c>
      <c r="G67" s="136" t="s">
        <v>185</v>
      </c>
    </row>
    <row r="68" spans="1:8" x14ac:dyDescent="0.25">
      <c r="A68" s="29">
        <v>3</v>
      </c>
      <c r="B68" s="133" t="s">
        <v>78</v>
      </c>
      <c r="C68" s="134">
        <v>44</v>
      </c>
      <c r="D68" s="5" t="s">
        <v>11</v>
      </c>
      <c r="E68" s="241">
        <v>186</v>
      </c>
      <c r="F68" s="176">
        <f t="shared" si="4"/>
        <v>8184</v>
      </c>
      <c r="G68" s="136" t="s">
        <v>185</v>
      </c>
    </row>
    <row r="69" spans="1:8" ht="16.5" customHeight="1" x14ac:dyDescent="0.25">
      <c r="A69" s="29">
        <v>4</v>
      </c>
      <c r="B69" s="133" t="s">
        <v>79</v>
      </c>
      <c r="C69" s="134">
        <v>98.7</v>
      </c>
      <c r="D69" s="5" t="s">
        <v>11</v>
      </c>
      <c r="E69" s="241">
        <v>150</v>
      </c>
      <c r="F69" s="176">
        <f t="shared" si="4"/>
        <v>14805</v>
      </c>
      <c r="G69" s="136" t="s">
        <v>186</v>
      </c>
      <c r="H69" s="104"/>
    </row>
    <row r="70" spans="1:8" ht="16.5" customHeight="1" x14ac:dyDescent="0.25">
      <c r="A70" s="29">
        <v>5</v>
      </c>
      <c r="B70" s="133" t="s">
        <v>187</v>
      </c>
      <c r="C70" s="134">
        <v>0</v>
      </c>
      <c r="D70" s="5" t="s">
        <v>11</v>
      </c>
      <c r="E70" s="241">
        <v>4</v>
      </c>
      <c r="F70" s="176"/>
      <c r="G70" s="136"/>
      <c r="H70" s="104"/>
    </row>
    <row r="71" spans="1:8" ht="16.5" customHeight="1" x14ac:dyDescent="0.25">
      <c r="A71" s="121"/>
      <c r="B71" s="144"/>
      <c r="C71" s="144"/>
      <c r="D71" s="140"/>
      <c r="E71" s="145"/>
      <c r="F71" s="146">
        <f>SUM(F66:F69)</f>
        <v>42492.68</v>
      </c>
      <c r="G71" s="140"/>
      <c r="H71" s="104"/>
    </row>
    <row r="72" spans="1:8" ht="15.75" customHeight="1" x14ac:dyDescent="0.25"/>
    <row r="73" spans="1:8" ht="15.75" customHeight="1" x14ac:dyDescent="0.25"/>
    <row r="74" spans="1:8" ht="15.75" customHeight="1" x14ac:dyDescent="0.25">
      <c r="A74" s="486" t="s">
        <v>188</v>
      </c>
      <c r="B74" s="486"/>
      <c r="C74" s="486"/>
      <c r="D74" s="486"/>
      <c r="E74" s="486"/>
      <c r="F74" s="486"/>
      <c r="G74" s="487"/>
    </row>
    <row r="75" spans="1:8" ht="15.75" customHeight="1" x14ac:dyDescent="0.25">
      <c r="A75" s="120" t="s">
        <v>3</v>
      </c>
      <c r="B75" s="120" t="s">
        <v>4</v>
      </c>
      <c r="C75" s="120" t="s">
        <v>5</v>
      </c>
      <c r="D75" s="118" t="s">
        <v>6</v>
      </c>
      <c r="E75" s="118" t="s">
        <v>7</v>
      </c>
      <c r="F75" s="118" t="s">
        <v>8</v>
      </c>
      <c r="G75" s="118" t="s">
        <v>9</v>
      </c>
    </row>
    <row r="76" spans="1:8" ht="15.75" customHeight="1" x14ac:dyDescent="0.25">
      <c r="A76" s="238" t="s">
        <v>163</v>
      </c>
      <c r="B76" s="238"/>
      <c r="C76" s="238"/>
      <c r="D76" s="238"/>
      <c r="E76" s="238"/>
      <c r="F76" s="238"/>
      <c r="G76" s="238"/>
    </row>
    <row r="77" spans="1:8" x14ac:dyDescent="0.25">
      <c r="A77" s="29">
        <v>1</v>
      </c>
      <c r="B77" s="133" t="s">
        <v>76</v>
      </c>
      <c r="C77" s="134">
        <v>143.56</v>
      </c>
      <c r="D77" s="5" t="s">
        <v>11</v>
      </c>
      <c r="E77" s="135">
        <v>15</v>
      </c>
      <c r="F77" s="176">
        <f>C77*E77</f>
        <v>2153.4</v>
      </c>
      <c r="G77" s="136" t="s">
        <v>189</v>
      </c>
    </row>
    <row r="78" spans="1:8" x14ac:dyDescent="0.25">
      <c r="A78" s="29">
        <v>2</v>
      </c>
      <c r="B78" s="133" t="s">
        <v>77</v>
      </c>
      <c r="C78" s="134">
        <v>65</v>
      </c>
      <c r="D78" s="5" t="s">
        <v>11</v>
      </c>
      <c r="E78" s="135">
        <v>12</v>
      </c>
      <c r="F78" s="176">
        <f t="shared" ref="F78:F80" si="5">C78*E78</f>
        <v>780</v>
      </c>
      <c r="G78" s="136" t="s">
        <v>189</v>
      </c>
    </row>
    <row r="79" spans="1:8" x14ac:dyDescent="0.25">
      <c r="A79" s="29">
        <v>3</v>
      </c>
      <c r="B79" s="133" t="s">
        <v>78</v>
      </c>
      <c r="C79" s="134">
        <v>44</v>
      </c>
      <c r="D79" s="5" t="s">
        <v>11</v>
      </c>
      <c r="E79" s="135">
        <v>10</v>
      </c>
      <c r="F79" s="176">
        <f t="shared" si="5"/>
        <v>440</v>
      </c>
      <c r="G79" s="136" t="s">
        <v>189</v>
      </c>
    </row>
    <row r="80" spans="1:8" x14ac:dyDescent="0.25">
      <c r="A80" s="29">
        <v>4</v>
      </c>
      <c r="B80" s="133" t="s">
        <v>79</v>
      </c>
      <c r="C80" s="134">
        <v>98.7</v>
      </c>
      <c r="D80" s="5" t="s">
        <v>11</v>
      </c>
      <c r="E80" s="135">
        <v>15</v>
      </c>
      <c r="F80" s="176">
        <f t="shared" si="5"/>
        <v>1480.5</v>
      </c>
      <c r="G80" s="136" t="s">
        <v>189</v>
      </c>
    </row>
    <row r="81" spans="1:7" x14ac:dyDescent="0.25">
      <c r="A81" s="121"/>
      <c r="B81" s="144"/>
      <c r="C81" s="144"/>
      <c r="D81" s="140"/>
      <c r="E81" s="145"/>
      <c r="F81" s="146" t="e" cm="1">
        <f t="array" ref="F81">SUM(F64:F74+F77:F80)</f>
        <v>#N/A</v>
      </c>
      <c r="G81" s="140"/>
    </row>
    <row r="83" spans="1:7" ht="15.75" x14ac:dyDescent="0.25">
      <c r="A83" s="235" t="s">
        <v>190</v>
      </c>
      <c r="B83" s="235"/>
      <c r="C83" s="235"/>
      <c r="D83" s="235"/>
      <c r="E83" s="235"/>
      <c r="F83" s="235"/>
      <c r="G83" s="235"/>
    </row>
    <row r="84" spans="1:7" ht="15.75" x14ac:dyDescent="0.25">
      <c r="A84" s="235" t="s">
        <v>191</v>
      </c>
      <c r="B84" s="235"/>
      <c r="C84" s="235"/>
      <c r="D84" s="235"/>
      <c r="E84" s="235"/>
      <c r="F84" s="235"/>
      <c r="G84" s="235"/>
    </row>
    <row r="85" spans="1:7" ht="15.75" x14ac:dyDescent="0.25">
      <c r="A85" s="235" t="s">
        <v>192</v>
      </c>
      <c r="B85" s="235"/>
      <c r="C85" s="235"/>
      <c r="D85" s="235"/>
      <c r="E85" s="235"/>
      <c r="F85" s="235"/>
      <c r="G85" s="235"/>
    </row>
    <row r="86" spans="1:7" x14ac:dyDescent="0.25">
      <c r="A86" s="28" t="s">
        <v>3</v>
      </c>
      <c r="B86" s="28" t="s">
        <v>4</v>
      </c>
      <c r="C86" s="28" t="s">
        <v>5</v>
      </c>
      <c r="D86" s="2" t="s">
        <v>6</v>
      </c>
      <c r="E86" s="2" t="s">
        <v>7</v>
      </c>
      <c r="F86" s="2" t="s">
        <v>8</v>
      </c>
      <c r="G86" s="2" t="s">
        <v>9</v>
      </c>
    </row>
    <row r="87" spans="1:7" x14ac:dyDescent="0.25">
      <c r="A87" s="29">
        <v>1</v>
      </c>
      <c r="B87" s="133" t="s">
        <v>10</v>
      </c>
      <c r="C87" s="173">
        <f>'ESTOQUE - SPO'!D113</f>
        <v>65</v>
      </c>
      <c r="D87" s="16" t="s">
        <v>11</v>
      </c>
      <c r="E87" s="135">
        <v>67</v>
      </c>
      <c r="F87" s="175">
        <f t="shared" ref="F87:F113" si="6">C87*E87</f>
        <v>4355</v>
      </c>
      <c r="G87" s="132" t="s">
        <v>172</v>
      </c>
    </row>
    <row r="88" spans="1:7" x14ac:dyDescent="0.25">
      <c r="A88" s="29">
        <v>2</v>
      </c>
      <c r="B88" s="138" t="s">
        <v>193</v>
      </c>
      <c r="C88" s="174">
        <f>'ESTOQUE - SPO'!D115</f>
        <v>98.7</v>
      </c>
      <c r="D88" s="141">
        <v>33</v>
      </c>
      <c r="E88" s="135">
        <v>0</v>
      </c>
      <c r="F88" s="175">
        <f t="shared" si="6"/>
        <v>0</v>
      </c>
      <c r="G88" s="132"/>
    </row>
    <row r="89" spans="1:7" x14ac:dyDescent="0.25">
      <c r="A89" s="29">
        <v>3</v>
      </c>
      <c r="B89" s="138" t="s">
        <v>86</v>
      </c>
      <c r="C89" s="174">
        <f>'ESTOQUE - SPO'!D116</f>
        <v>0</v>
      </c>
      <c r="D89" s="141">
        <v>34</v>
      </c>
      <c r="E89" s="135">
        <v>0</v>
      </c>
      <c r="F89" s="175">
        <f t="shared" si="6"/>
        <v>0</v>
      </c>
      <c r="G89" s="132"/>
    </row>
    <row r="90" spans="1:7" x14ac:dyDescent="0.25">
      <c r="A90" s="29">
        <v>4</v>
      </c>
      <c r="B90" s="138" t="s">
        <v>86</v>
      </c>
      <c r="C90" s="174">
        <f>'ESTOQUE - SPO'!D117</f>
        <v>0</v>
      </c>
      <c r="D90" s="141">
        <v>35</v>
      </c>
      <c r="E90" s="135">
        <v>0</v>
      </c>
      <c r="F90" s="175">
        <f t="shared" si="6"/>
        <v>0</v>
      </c>
      <c r="G90" s="132" t="s">
        <v>172</v>
      </c>
    </row>
    <row r="91" spans="1:7" x14ac:dyDescent="0.25">
      <c r="A91" s="29">
        <v>5</v>
      </c>
      <c r="B91" s="138" t="s">
        <v>86</v>
      </c>
      <c r="C91" s="174" t="str">
        <f>'ESTOQUE - SPO'!D118</f>
        <v>R$ p/ UN</v>
      </c>
      <c r="D91" s="141">
        <v>36</v>
      </c>
      <c r="E91" s="135">
        <v>0</v>
      </c>
      <c r="F91" s="175" t="e">
        <f t="shared" si="6"/>
        <v>#VALUE!</v>
      </c>
      <c r="G91" s="132" t="s">
        <v>172</v>
      </c>
    </row>
    <row r="92" spans="1:7" x14ac:dyDescent="0.25">
      <c r="A92" s="29">
        <v>6</v>
      </c>
      <c r="B92" s="138" t="s">
        <v>86</v>
      </c>
      <c r="C92" s="174">
        <f>'ESTOQUE - SPO'!D119</f>
        <v>0</v>
      </c>
      <c r="D92" s="139">
        <v>37</v>
      </c>
      <c r="E92" s="135">
        <v>0</v>
      </c>
      <c r="F92" s="175">
        <f t="shared" si="6"/>
        <v>0</v>
      </c>
      <c r="G92" s="132" t="s">
        <v>172</v>
      </c>
    </row>
    <row r="93" spans="1:7" x14ac:dyDescent="0.25">
      <c r="A93" s="29">
        <v>7</v>
      </c>
      <c r="B93" s="138" t="s">
        <v>86</v>
      </c>
      <c r="C93" s="174">
        <f>'ESTOQUE - SPO'!D120</f>
        <v>0</v>
      </c>
      <c r="D93" s="135">
        <v>38</v>
      </c>
      <c r="E93" s="135">
        <v>3</v>
      </c>
      <c r="F93" s="175">
        <f t="shared" si="6"/>
        <v>0</v>
      </c>
      <c r="G93" s="132" t="s">
        <v>172</v>
      </c>
    </row>
    <row r="94" spans="1:7" x14ac:dyDescent="0.25">
      <c r="A94" s="29">
        <v>8</v>
      </c>
      <c r="B94" s="138" t="s">
        <v>86</v>
      </c>
      <c r="C94" s="174">
        <f>'ESTOQUE - SPO'!D121</f>
        <v>143.56</v>
      </c>
      <c r="D94" s="141">
        <v>39</v>
      </c>
      <c r="E94" s="135">
        <v>7</v>
      </c>
      <c r="F94" s="175">
        <f t="shared" si="6"/>
        <v>1004.9200000000001</v>
      </c>
      <c r="G94" s="132" t="s">
        <v>172</v>
      </c>
    </row>
    <row r="95" spans="1:7" x14ac:dyDescent="0.25">
      <c r="A95" s="29">
        <v>9</v>
      </c>
      <c r="B95" s="138" t="s">
        <v>86</v>
      </c>
      <c r="C95" s="174">
        <f>'ESTOQUE - SPO'!D122</f>
        <v>65</v>
      </c>
      <c r="D95" s="141">
        <v>40</v>
      </c>
      <c r="E95" s="135">
        <v>19</v>
      </c>
      <c r="F95" s="175">
        <f t="shared" si="6"/>
        <v>1235</v>
      </c>
      <c r="G95" s="132" t="s">
        <v>172</v>
      </c>
    </row>
    <row r="96" spans="1:7" x14ac:dyDescent="0.25">
      <c r="A96" s="29">
        <v>10</v>
      </c>
      <c r="B96" s="138" t="s">
        <v>86</v>
      </c>
      <c r="C96" s="174">
        <f>'ESTOQUE - SPO'!D123</f>
        <v>44</v>
      </c>
      <c r="D96" s="139">
        <v>41</v>
      </c>
      <c r="E96" s="135">
        <v>9</v>
      </c>
      <c r="F96" s="175">
        <f t="shared" si="6"/>
        <v>396</v>
      </c>
      <c r="G96" s="132" t="s">
        <v>172</v>
      </c>
    </row>
    <row r="97" spans="1:7" x14ac:dyDescent="0.25">
      <c r="A97" s="29">
        <v>11</v>
      </c>
      <c r="B97" s="138" t="s">
        <v>86</v>
      </c>
      <c r="C97" s="174">
        <f>'ESTOQUE - SPO'!D124</f>
        <v>98.7</v>
      </c>
      <c r="D97" s="139">
        <v>42</v>
      </c>
      <c r="E97" s="135">
        <v>16</v>
      </c>
      <c r="F97" s="175">
        <f t="shared" si="6"/>
        <v>1579.2</v>
      </c>
      <c r="G97" s="132" t="s">
        <v>172</v>
      </c>
    </row>
    <row r="98" spans="1:7" x14ac:dyDescent="0.25">
      <c r="A98" s="29">
        <v>12</v>
      </c>
      <c r="B98" s="138" t="s">
        <v>86</v>
      </c>
      <c r="C98" s="174">
        <f>'ESTOQUE - SPO'!D125</f>
        <v>0</v>
      </c>
      <c r="D98" s="139">
        <v>43</v>
      </c>
      <c r="E98" s="135">
        <v>3</v>
      </c>
      <c r="F98" s="175">
        <f t="shared" si="6"/>
        <v>0</v>
      </c>
      <c r="G98" s="132" t="s">
        <v>172</v>
      </c>
    </row>
    <row r="99" spans="1:7" x14ac:dyDescent="0.25">
      <c r="A99" s="29">
        <v>13</v>
      </c>
      <c r="B99" s="138" t="s">
        <v>86</v>
      </c>
      <c r="C99" s="174">
        <f>'ESTOQUE - SPO'!D126</f>
        <v>143.56</v>
      </c>
      <c r="D99" s="139">
        <v>44</v>
      </c>
      <c r="E99" s="135">
        <v>1</v>
      </c>
      <c r="F99" s="175">
        <f t="shared" si="6"/>
        <v>143.56</v>
      </c>
      <c r="G99" s="132" t="s">
        <v>172</v>
      </c>
    </row>
    <row r="100" spans="1:7" x14ac:dyDescent="0.25">
      <c r="A100" s="29">
        <v>14</v>
      </c>
      <c r="B100" s="138" t="s">
        <v>86</v>
      </c>
      <c r="C100" s="174">
        <f>'ESTOQUE - SPO'!D127</f>
        <v>65</v>
      </c>
      <c r="D100" s="139">
        <v>45</v>
      </c>
      <c r="E100" s="135">
        <v>2</v>
      </c>
      <c r="F100" s="175">
        <f t="shared" si="6"/>
        <v>130</v>
      </c>
      <c r="G100" s="132" t="s">
        <v>172</v>
      </c>
    </row>
    <row r="101" spans="1:7" x14ac:dyDescent="0.25">
      <c r="A101" s="29">
        <v>15</v>
      </c>
      <c r="B101" s="138" t="s">
        <v>86</v>
      </c>
      <c r="C101" s="174">
        <f>'ESTOQUE - SPO'!D128</f>
        <v>44</v>
      </c>
      <c r="D101" s="139">
        <v>46</v>
      </c>
      <c r="E101" s="135">
        <v>0</v>
      </c>
      <c r="F101" s="175">
        <f t="shared" si="6"/>
        <v>0</v>
      </c>
      <c r="G101" s="132" t="s">
        <v>172</v>
      </c>
    </row>
    <row r="102" spans="1:7" x14ac:dyDescent="0.25">
      <c r="A102" s="29">
        <v>16</v>
      </c>
      <c r="B102" s="142" t="s">
        <v>87</v>
      </c>
      <c r="C102" s="175">
        <f>'ESTOQUE - SPO'!D131</f>
        <v>0</v>
      </c>
      <c r="D102" s="139" t="s">
        <v>31</v>
      </c>
      <c r="E102" s="135">
        <v>0</v>
      </c>
      <c r="F102" s="175">
        <f t="shared" si="6"/>
        <v>0</v>
      </c>
      <c r="G102" s="132" t="s">
        <v>172</v>
      </c>
    </row>
    <row r="103" spans="1:7" x14ac:dyDescent="0.25">
      <c r="A103" s="29">
        <v>17</v>
      </c>
      <c r="B103" s="142" t="s">
        <v>87</v>
      </c>
      <c r="C103" s="175">
        <f>'ESTOQUE - SPO'!D132</f>
        <v>0</v>
      </c>
      <c r="D103" s="139" t="s">
        <v>28</v>
      </c>
      <c r="E103" s="135">
        <v>0</v>
      </c>
      <c r="F103" s="175">
        <f t="shared" si="6"/>
        <v>0</v>
      </c>
      <c r="G103" s="132" t="s">
        <v>172</v>
      </c>
    </row>
    <row r="104" spans="1:7" x14ac:dyDescent="0.25">
      <c r="A104" s="29">
        <v>18</v>
      </c>
      <c r="B104" s="142" t="s">
        <v>87</v>
      </c>
      <c r="C104" s="175">
        <f>'ESTOQUE - SPO'!D133</f>
        <v>0</v>
      </c>
      <c r="D104" s="135" t="s">
        <v>29</v>
      </c>
      <c r="E104" s="135">
        <v>20</v>
      </c>
      <c r="F104" s="175">
        <f t="shared" si="6"/>
        <v>0</v>
      </c>
      <c r="G104" s="132" t="s">
        <v>172</v>
      </c>
    </row>
    <row r="105" spans="1:7" x14ac:dyDescent="0.25">
      <c r="A105" s="29">
        <v>19</v>
      </c>
      <c r="B105" s="142" t="s">
        <v>87</v>
      </c>
      <c r="C105" s="175">
        <f>'ESTOQUE - SPO'!D134</f>
        <v>0</v>
      </c>
      <c r="D105" s="139" t="s">
        <v>37</v>
      </c>
      <c r="E105" s="135">
        <v>21</v>
      </c>
      <c r="F105" s="175">
        <f t="shared" si="6"/>
        <v>0</v>
      </c>
      <c r="G105" s="132" t="s">
        <v>172</v>
      </c>
    </row>
    <row r="106" spans="1:7" x14ac:dyDescent="0.25">
      <c r="A106" s="29">
        <v>20</v>
      </c>
      <c r="B106" s="133" t="s">
        <v>38</v>
      </c>
      <c r="C106" s="173">
        <f>'ESTOQUE - SPO'!D135</f>
        <v>0</v>
      </c>
      <c r="D106" s="16" t="s">
        <v>11</v>
      </c>
      <c r="E106" s="135">
        <v>60</v>
      </c>
      <c r="F106" s="175">
        <f t="shared" si="6"/>
        <v>0</v>
      </c>
      <c r="G106" s="132" t="s">
        <v>172</v>
      </c>
    </row>
    <row r="107" spans="1:7" x14ac:dyDescent="0.25">
      <c r="A107" s="29">
        <v>21</v>
      </c>
      <c r="B107" s="133" t="s">
        <v>173</v>
      </c>
      <c r="C107" s="173">
        <f>'ESTOQUE - SPO'!D136</f>
        <v>0</v>
      </c>
      <c r="D107" s="16" t="s">
        <v>11</v>
      </c>
      <c r="E107" s="135">
        <v>12</v>
      </c>
      <c r="F107" s="175">
        <f t="shared" si="6"/>
        <v>0</v>
      </c>
      <c r="G107" s="132"/>
    </row>
    <row r="108" spans="1:7" x14ac:dyDescent="0.25">
      <c r="A108" s="29">
        <v>22</v>
      </c>
      <c r="B108" s="138" t="s">
        <v>40</v>
      </c>
      <c r="C108" s="174">
        <f>'ESTOQUE - SPO'!D140</f>
        <v>0</v>
      </c>
      <c r="D108" s="16" t="s">
        <v>11</v>
      </c>
      <c r="E108" s="135">
        <v>83</v>
      </c>
      <c r="F108" s="175">
        <f t="shared" si="6"/>
        <v>0</v>
      </c>
      <c r="G108" s="132" t="s">
        <v>172</v>
      </c>
    </row>
    <row r="109" spans="1:7" x14ac:dyDescent="0.25">
      <c r="A109" s="29">
        <v>23</v>
      </c>
      <c r="B109" s="133" t="s">
        <v>125</v>
      </c>
      <c r="C109" s="173">
        <f>'ESTOQUE - SPO'!D137</f>
        <v>0</v>
      </c>
      <c r="D109" s="16" t="s">
        <v>11</v>
      </c>
      <c r="E109" s="135">
        <v>11</v>
      </c>
      <c r="F109" s="175">
        <f t="shared" si="6"/>
        <v>0</v>
      </c>
      <c r="G109" s="132" t="s">
        <v>172</v>
      </c>
    </row>
    <row r="110" spans="1:7" x14ac:dyDescent="0.25">
      <c r="A110" s="29">
        <v>24</v>
      </c>
      <c r="B110" s="132" t="s">
        <v>42</v>
      </c>
      <c r="C110" s="175">
        <f>'ESTOQUE - SPO'!D138</f>
        <v>0</v>
      </c>
      <c r="D110" s="16" t="s">
        <v>11</v>
      </c>
      <c r="E110" s="135"/>
      <c r="F110" s="175">
        <f t="shared" si="6"/>
        <v>0</v>
      </c>
      <c r="G110" s="132" t="s">
        <v>172</v>
      </c>
    </row>
    <row r="111" spans="1:7" x14ac:dyDescent="0.25">
      <c r="A111" s="29">
        <v>25</v>
      </c>
      <c r="B111" s="132" t="s">
        <v>127</v>
      </c>
      <c r="C111" s="175">
        <f>'ESTOQUE - SPO'!D139</f>
        <v>0</v>
      </c>
      <c r="D111" s="16" t="s">
        <v>11</v>
      </c>
      <c r="E111" s="135">
        <v>128</v>
      </c>
      <c r="F111" s="175">
        <f t="shared" si="6"/>
        <v>0</v>
      </c>
      <c r="G111" s="132" t="s">
        <v>172</v>
      </c>
    </row>
    <row r="112" spans="1:7" x14ac:dyDescent="0.25">
      <c r="A112" s="29">
        <v>26</v>
      </c>
      <c r="B112" s="138" t="s">
        <v>90</v>
      </c>
      <c r="C112" s="174">
        <f>'ESTOQUE - SPO'!D141</f>
        <v>0</v>
      </c>
      <c r="D112" s="135" t="s">
        <v>172</v>
      </c>
      <c r="E112" s="135">
        <v>15</v>
      </c>
      <c r="F112" s="175">
        <f t="shared" si="6"/>
        <v>0</v>
      </c>
      <c r="G112" s="132" t="s">
        <v>172</v>
      </c>
    </row>
    <row r="113" spans="1:7" x14ac:dyDescent="0.25">
      <c r="A113" s="29">
        <v>27</v>
      </c>
      <c r="B113" s="133" t="s">
        <v>175</v>
      </c>
      <c r="C113" s="173">
        <f>'ESTOQUE - SPO'!D152</f>
        <v>0</v>
      </c>
      <c r="D113" s="16" t="s">
        <v>11</v>
      </c>
      <c r="E113" s="135">
        <v>12</v>
      </c>
      <c r="F113" s="175">
        <f t="shared" si="6"/>
        <v>0</v>
      </c>
      <c r="G113" s="132" t="s">
        <v>172</v>
      </c>
    </row>
    <row r="114" spans="1:7" x14ac:dyDescent="0.25">
      <c r="A114" s="29">
        <v>28</v>
      </c>
      <c r="B114" s="143" t="s">
        <v>176</v>
      </c>
      <c r="C114" s="175">
        <v>30.66</v>
      </c>
      <c r="D114" s="16"/>
      <c r="E114" s="135">
        <v>10</v>
      </c>
      <c r="F114" s="175"/>
      <c r="G114" s="132"/>
    </row>
    <row r="115" spans="1:7" x14ac:dyDescent="0.25">
      <c r="A115" s="29">
        <v>29</v>
      </c>
      <c r="B115" s="138" t="s">
        <v>96</v>
      </c>
      <c r="C115" s="174">
        <f>'ESTOQUE - SPO'!D147</f>
        <v>0</v>
      </c>
      <c r="D115" s="135" t="s">
        <v>172</v>
      </c>
      <c r="E115" s="135">
        <v>6</v>
      </c>
      <c r="F115" s="175">
        <f t="shared" ref="F115:F125" si="7">C115*E115</f>
        <v>0</v>
      </c>
      <c r="G115" s="132" t="s">
        <v>172</v>
      </c>
    </row>
    <row r="116" spans="1:7" x14ac:dyDescent="0.25">
      <c r="A116" s="29">
        <v>30</v>
      </c>
      <c r="B116" s="132" t="s">
        <v>63</v>
      </c>
      <c r="C116" s="175">
        <f>'ESTOQUE - SPO'!D155</f>
        <v>0</v>
      </c>
      <c r="D116" s="16" t="s">
        <v>11</v>
      </c>
      <c r="E116" s="135">
        <v>20</v>
      </c>
      <c r="F116" s="175">
        <f t="shared" si="7"/>
        <v>0</v>
      </c>
      <c r="G116" s="132"/>
    </row>
    <row r="117" spans="1:7" x14ac:dyDescent="0.25">
      <c r="A117" s="29">
        <v>31</v>
      </c>
      <c r="B117" s="138" t="s">
        <v>64</v>
      </c>
      <c r="C117" s="174">
        <f>'ESTOQUE - SPO'!D154</f>
        <v>0</v>
      </c>
      <c r="D117" s="16" t="s">
        <v>11</v>
      </c>
      <c r="E117" s="135">
        <v>10</v>
      </c>
      <c r="F117" s="175">
        <f t="shared" si="7"/>
        <v>0</v>
      </c>
      <c r="G117" s="132" t="s">
        <v>172</v>
      </c>
    </row>
    <row r="118" spans="1:7" x14ac:dyDescent="0.25">
      <c r="A118" s="29">
        <v>32</v>
      </c>
      <c r="B118" s="132" t="s">
        <v>177</v>
      </c>
      <c r="C118" s="175">
        <f>'ESTOQUE - SPO'!D157</f>
        <v>0</v>
      </c>
      <c r="D118" s="16" t="s">
        <v>11</v>
      </c>
      <c r="E118" s="135">
        <v>10</v>
      </c>
      <c r="F118" s="175">
        <f t="shared" si="7"/>
        <v>0</v>
      </c>
      <c r="G118" s="132"/>
    </row>
    <row r="119" spans="1:7" x14ac:dyDescent="0.25">
      <c r="A119" s="29">
        <v>33</v>
      </c>
      <c r="B119" s="132" t="s">
        <v>178</v>
      </c>
      <c r="C119" s="175">
        <f>'ESTOQUE - SPO'!D157</f>
        <v>0</v>
      </c>
      <c r="D119" s="16" t="s">
        <v>11</v>
      </c>
      <c r="E119" s="135">
        <v>10</v>
      </c>
      <c r="F119" s="175">
        <f t="shared" si="7"/>
        <v>0</v>
      </c>
      <c r="G119" s="132"/>
    </row>
    <row r="120" spans="1:7" x14ac:dyDescent="0.25">
      <c r="A120" s="29">
        <v>34</v>
      </c>
      <c r="B120" s="142" t="s">
        <v>194</v>
      </c>
      <c r="C120" s="175">
        <f>'ESTOQUE - SPO'!D161</f>
        <v>0</v>
      </c>
      <c r="D120" s="16" t="s">
        <v>11</v>
      </c>
      <c r="E120" s="135">
        <v>0</v>
      </c>
      <c r="F120" s="175">
        <f t="shared" si="7"/>
        <v>0</v>
      </c>
      <c r="G120" s="132"/>
    </row>
    <row r="121" spans="1:7" x14ac:dyDescent="0.25">
      <c r="A121" s="29">
        <v>35</v>
      </c>
      <c r="B121" s="292" t="s">
        <v>195</v>
      </c>
      <c r="C121" s="124">
        <v>24.55</v>
      </c>
      <c r="D121" s="16" t="s">
        <v>11</v>
      </c>
      <c r="E121" s="135">
        <v>100</v>
      </c>
      <c r="F121" s="175">
        <f t="shared" si="7"/>
        <v>2455</v>
      </c>
      <c r="G121" s="132"/>
    </row>
    <row r="122" spans="1:7" x14ac:dyDescent="0.25">
      <c r="A122" s="29">
        <v>36</v>
      </c>
      <c r="B122" s="133" t="s">
        <v>69</v>
      </c>
      <c r="C122" s="173">
        <f>'ESTOQUE - SPO'!D163</f>
        <v>0</v>
      </c>
      <c r="D122" s="16" t="s">
        <v>11</v>
      </c>
      <c r="E122" s="135">
        <v>25</v>
      </c>
      <c r="F122" s="175">
        <f t="shared" si="7"/>
        <v>0</v>
      </c>
      <c r="G122" s="132" t="s">
        <v>172</v>
      </c>
    </row>
    <row r="123" spans="1:7" x14ac:dyDescent="0.25">
      <c r="A123" s="29">
        <v>37</v>
      </c>
      <c r="B123" s="133" t="s">
        <v>70</v>
      </c>
      <c r="C123" s="173">
        <f>'ESTOQUE - SPO'!D165</f>
        <v>0</v>
      </c>
      <c r="D123" s="16" t="s">
        <v>11</v>
      </c>
      <c r="E123" s="135">
        <v>4</v>
      </c>
      <c r="F123" s="175">
        <f t="shared" si="7"/>
        <v>0</v>
      </c>
      <c r="G123" s="132" t="s">
        <v>172</v>
      </c>
    </row>
    <row r="124" spans="1:7" x14ac:dyDescent="0.25">
      <c r="A124" s="29">
        <v>38</v>
      </c>
      <c r="B124" s="133" t="s">
        <v>71</v>
      </c>
      <c r="C124" s="173">
        <f>'ESTOQUE - SPO'!D167</f>
        <v>0</v>
      </c>
      <c r="D124" s="16" t="s">
        <v>11</v>
      </c>
      <c r="E124" s="135">
        <v>7</v>
      </c>
      <c r="F124" s="175">
        <f t="shared" si="7"/>
        <v>0</v>
      </c>
      <c r="G124" s="132" t="s">
        <v>180</v>
      </c>
    </row>
    <row r="125" spans="1:7" x14ac:dyDescent="0.25">
      <c r="A125" s="29">
        <v>39</v>
      </c>
      <c r="B125" s="133" t="s">
        <v>73</v>
      </c>
      <c r="C125" s="173">
        <f>'ESTOQUE - SPO'!D167</f>
        <v>0</v>
      </c>
      <c r="D125" s="16" t="s">
        <v>11</v>
      </c>
      <c r="E125" s="135">
        <v>12</v>
      </c>
      <c r="F125" s="175">
        <f t="shared" si="7"/>
        <v>0</v>
      </c>
      <c r="G125" s="132"/>
    </row>
    <row r="126" spans="1:7" x14ac:dyDescent="0.25">
      <c r="A126" s="29">
        <v>40</v>
      </c>
      <c r="B126" s="133" t="s">
        <v>89</v>
      </c>
      <c r="C126" s="173"/>
      <c r="D126" s="16"/>
      <c r="E126" s="135">
        <v>5</v>
      </c>
      <c r="F126" s="175"/>
      <c r="G126" s="132"/>
    </row>
    <row r="127" spans="1:7" x14ac:dyDescent="0.25">
      <c r="A127" s="29">
        <v>41</v>
      </c>
      <c r="B127" s="133" t="s">
        <v>196</v>
      </c>
      <c r="C127" s="173"/>
      <c r="D127" s="16"/>
      <c r="E127" s="135"/>
      <c r="F127" s="175"/>
      <c r="G127" s="132"/>
    </row>
    <row r="128" spans="1:7" x14ac:dyDescent="0.25">
      <c r="A128" s="121"/>
      <c r="B128" s="144"/>
      <c r="C128" s="144"/>
      <c r="D128" s="140"/>
      <c r="E128" s="145"/>
      <c r="F128" s="146" t="e">
        <f>SUM(F88:F125)</f>
        <v>#VALUE!</v>
      </c>
      <c r="G128" s="140"/>
    </row>
  </sheetData>
  <autoFilter ref="A4:G4" xr:uid="{4AAED4E6-9296-4C9E-A47A-1CDD1A79FA81}">
    <sortState xmlns:xlrd2="http://schemas.microsoft.com/office/spreadsheetml/2017/richdata2" ref="A5:G43">
      <sortCondition ref="B4"/>
    </sortState>
  </autoFilter>
  <mergeCells count="9">
    <mergeCell ref="A74:G74"/>
    <mergeCell ref="A65:G65"/>
    <mergeCell ref="A1:G1"/>
    <mergeCell ref="A2:G2"/>
    <mergeCell ref="A3:G3"/>
    <mergeCell ref="A54:G54"/>
    <mergeCell ref="A59:G59"/>
    <mergeCell ref="A51:G51"/>
    <mergeCell ref="A52:G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6DFE-3F28-4BA2-963D-3FDDB81AA338}">
  <sheetPr>
    <tabColor rgb="FFFFFF00"/>
  </sheetPr>
  <dimension ref="A1:G88"/>
  <sheetViews>
    <sheetView workbookViewId="0">
      <selection activeCell="B31" sqref="B31"/>
    </sheetView>
  </sheetViews>
  <sheetFormatPr defaultRowHeight="15" x14ac:dyDescent="0.25"/>
  <cols>
    <col min="2" max="2" width="57.28515625" customWidth="1"/>
    <col min="3" max="3" width="14" customWidth="1"/>
    <col min="4" max="4" width="11.42578125" style="30" customWidth="1"/>
    <col min="5" max="5" width="12.7109375" style="30" customWidth="1"/>
    <col min="6" max="6" width="15.140625" style="30" customWidth="1"/>
    <col min="7" max="7" width="14.140625" customWidth="1"/>
  </cols>
  <sheetData>
    <row r="1" spans="1:7" ht="18" customHeight="1" x14ac:dyDescent="0.25">
      <c r="A1" s="447" t="s">
        <v>197</v>
      </c>
      <c r="B1" s="447"/>
      <c r="C1" s="447"/>
      <c r="D1" s="447"/>
      <c r="E1" s="447"/>
      <c r="F1" s="447"/>
      <c r="G1" s="447"/>
    </row>
    <row r="2" spans="1:7" ht="18" customHeight="1" x14ac:dyDescent="0.25">
      <c r="A2" s="447" t="s">
        <v>198</v>
      </c>
      <c r="B2" s="447"/>
      <c r="C2" s="447"/>
      <c r="D2" s="447"/>
      <c r="E2" s="447"/>
      <c r="F2" s="447"/>
      <c r="G2" s="447"/>
    </row>
    <row r="3" spans="1:7" ht="18" customHeight="1" x14ac:dyDescent="0.25">
      <c r="A3" s="492" t="s">
        <v>199</v>
      </c>
      <c r="B3" s="492"/>
      <c r="C3" s="492"/>
      <c r="D3" s="492"/>
      <c r="E3" s="492"/>
      <c r="F3" s="492"/>
      <c r="G3" s="492"/>
    </row>
    <row r="4" spans="1:7" x14ac:dyDescent="0.25">
      <c r="A4" s="28" t="s">
        <v>3</v>
      </c>
      <c r="B4" s="28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s="53" customFormat="1" x14ac:dyDescent="0.25">
      <c r="A5" s="20">
        <v>1</v>
      </c>
      <c r="B5" s="165" t="s">
        <v>200</v>
      </c>
      <c r="C5" s="181"/>
      <c r="D5" s="5" t="s">
        <v>11</v>
      </c>
      <c r="E5" s="168">
        <v>0</v>
      </c>
      <c r="F5" s="185">
        <f t="shared" ref="F5:F41" si="0">C5*E5</f>
        <v>0</v>
      </c>
      <c r="G5" s="51"/>
    </row>
    <row r="6" spans="1:7" x14ac:dyDescent="0.25">
      <c r="A6" s="20">
        <v>2</v>
      </c>
      <c r="B6" s="74" t="s">
        <v>10</v>
      </c>
      <c r="C6" s="183">
        <f>'ESTOQUE - SPO'!D6</f>
        <v>126.1</v>
      </c>
      <c r="D6" s="5" t="s">
        <v>11</v>
      </c>
      <c r="E6" s="168">
        <v>0</v>
      </c>
      <c r="F6" s="185">
        <f>C6*E6</f>
        <v>0</v>
      </c>
      <c r="G6" s="6"/>
    </row>
    <row r="7" spans="1:7" x14ac:dyDescent="0.25">
      <c r="A7" s="435">
        <f t="shared" ref="A7" si="1">ROW()-4</f>
        <v>3</v>
      </c>
      <c r="B7" s="165" t="s">
        <v>13</v>
      </c>
      <c r="C7" s="183"/>
      <c r="D7" s="20" t="s">
        <v>11</v>
      </c>
      <c r="E7" s="166">
        <v>190</v>
      </c>
      <c r="F7" s="185">
        <f t="shared" si="0"/>
        <v>0</v>
      </c>
      <c r="G7" s="110"/>
    </row>
    <row r="8" spans="1:7" x14ac:dyDescent="0.25">
      <c r="A8" s="20">
        <v>4</v>
      </c>
      <c r="B8" s="74" t="s">
        <v>201</v>
      </c>
      <c r="C8" s="183">
        <v>69.900000000000006</v>
      </c>
      <c r="D8" s="17">
        <v>38</v>
      </c>
      <c r="E8" s="233">
        <v>0</v>
      </c>
      <c r="F8" s="185">
        <f t="shared" si="0"/>
        <v>0</v>
      </c>
      <c r="G8" s="6"/>
    </row>
    <row r="9" spans="1:7" x14ac:dyDescent="0.25">
      <c r="A9" s="20">
        <v>5</v>
      </c>
      <c r="B9" s="74" t="s">
        <v>202</v>
      </c>
      <c r="C9" s="183">
        <v>69.900000000000006</v>
      </c>
      <c r="D9" s="18">
        <v>39</v>
      </c>
      <c r="E9" s="233">
        <v>0</v>
      </c>
      <c r="F9" s="185">
        <f t="shared" si="0"/>
        <v>0</v>
      </c>
      <c r="G9" s="6"/>
    </row>
    <row r="10" spans="1:7" x14ac:dyDescent="0.25">
      <c r="A10" s="20">
        <v>6</v>
      </c>
      <c r="B10" s="74" t="s">
        <v>203</v>
      </c>
      <c r="C10" s="183">
        <v>69.900000000000006</v>
      </c>
      <c r="D10" s="16">
        <v>40</v>
      </c>
      <c r="E10" s="233">
        <v>0</v>
      </c>
      <c r="F10" s="185">
        <f t="shared" si="0"/>
        <v>0</v>
      </c>
      <c r="G10" s="6"/>
    </row>
    <row r="11" spans="1:7" x14ac:dyDescent="0.25">
      <c r="A11" s="20">
        <v>7</v>
      </c>
      <c r="B11" s="74" t="s">
        <v>204</v>
      </c>
      <c r="C11" s="183">
        <v>69.900000000000006</v>
      </c>
      <c r="D11" s="17">
        <v>41</v>
      </c>
      <c r="E11" s="233">
        <v>0</v>
      </c>
      <c r="F11" s="185">
        <f t="shared" si="0"/>
        <v>0</v>
      </c>
      <c r="G11" s="6"/>
    </row>
    <row r="12" spans="1:7" x14ac:dyDescent="0.25">
      <c r="A12" s="20">
        <v>8</v>
      </c>
      <c r="B12" s="74" t="s">
        <v>205</v>
      </c>
      <c r="C12" s="183">
        <v>69.900000000000006</v>
      </c>
      <c r="D12" s="17">
        <v>42</v>
      </c>
      <c r="E12" s="233">
        <v>0</v>
      </c>
      <c r="F12" s="185">
        <f t="shared" si="0"/>
        <v>0</v>
      </c>
      <c r="G12" s="6"/>
    </row>
    <row r="13" spans="1:7" x14ac:dyDescent="0.25">
      <c r="A13" s="20">
        <v>9</v>
      </c>
      <c r="B13" s="74" t="s">
        <v>206</v>
      </c>
      <c r="C13" s="178">
        <v>104.29</v>
      </c>
      <c r="D13" s="18">
        <v>33</v>
      </c>
      <c r="E13" s="167">
        <v>7</v>
      </c>
      <c r="F13" s="185">
        <f t="shared" si="0"/>
        <v>730.03000000000009</v>
      </c>
      <c r="G13" s="6"/>
    </row>
    <row r="14" spans="1:7" x14ac:dyDescent="0.25">
      <c r="A14" s="20">
        <v>10</v>
      </c>
      <c r="B14" s="74" t="s">
        <v>207</v>
      </c>
      <c r="C14" s="178">
        <v>104.29</v>
      </c>
      <c r="D14" s="18">
        <v>32</v>
      </c>
      <c r="E14" s="167">
        <v>7</v>
      </c>
      <c r="F14" s="185">
        <f t="shared" si="0"/>
        <v>730.03000000000009</v>
      </c>
      <c r="G14" s="6"/>
    </row>
    <row r="15" spans="1:7" x14ac:dyDescent="0.25">
      <c r="A15" s="20">
        <v>11</v>
      </c>
      <c r="B15" s="74" t="s">
        <v>208</v>
      </c>
      <c r="C15" s="178">
        <v>104.29</v>
      </c>
      <c r="D15" s="18">
        <v>35</v>
      </c>
      <c r="E15" s="233">
        <v>0</v>
      </c>
      <c r="F15" s="185">
        <f t="shared" si="0"/>
        <v>0</v>
      </c>
      <c r="G15" s="6"/>
    </row>
    <row r="16" spans="1:7" x14ac:dyDescent="0.25">
      <c r="A16" s="20">
        <v>12</v>
      </c>
      <c r="B16" s="74" t="s">
        <v>209</v>
      </c>
      <c r="C16" s="178">
        <v>104.29</v>
      </c>
      <c r="D16" s="18">
        <v>36</v>
      </c>
      <c r="E16" s="233">
        <v>0</v>
      </c>
      <c r="F16" s="185">
        <f t="shared" si="0"/>
        <v>0</v>
      </c>
      <c r="G16" s="6"/>
    </row>
    <row r="17" spans="1:7" x14ac:dyDescent="0.25">
      <c r="A17" s="20">
        <v>13</v>
      </c>
      <c r="B17" s="74" t="s">
        <v>210</v>
      </c>
      <c r="C17" s="178">
        <v>104.29</v>
      </c>
      <c r="D17" s="18">
        <v>37</v>
      </c>
      <c r="E17" s="166">
        <v>1</v>
      </c>
      <c r="F17" s="185">
        <f t="shared" si="0"/>
        <v>104.29</v>
      </c>
      <c r="G17" s="6"/>
    </row>
    <row r="18" spans="1:7" x14ac:dyDescent="0.25">
      <c r="A18" s="20">
        <v>15</v>
      </c>
      <c r="B18" s="74" t="s">
        <v>211</v>
      </c>
      <c r="C18" s="178">
        <v>104.29</v>
      </c>
      <c r="D18" s="18">
        <v>38</v>
      </c>
      <c r="E18" s="19">
        <v>1</v>
      </c>
      <c r="F18" s="185">
        <f t="shared" si="0"/>
        <v>104.29</v>
      </c>
      <c r="G18" s="6"/>
    </row>
    <row r="19" spans="1:7" x14ac:dyDescent="0.25">
      <c r="A19" s="20">
        <v>16</v>
      </c>
      <c r="B19" s="74" t="s">
        <v>212</v>
      </c>
      <c r="C19" s="178">
        <v>104.29</v>
      </c>
      <c r="D19" s="18">
        <v>39</v>
      </c>
      <c r="E19" s="19">
        <v>6</v>
      </c>
      <c r="F19" s="185">
        <f t="shared" si="0"/>
        <v>625.74</v>
      </c>
      <c r="G19" s="6"/>
    </row>
    <row r="20" spans="1:7" x14ac:dyDescent="0.25">
      <c r="A20" s="20">
        <v>17</v>
      </c>
      <c r="B20" s="74" t="s">
        <v>213</v>
      </c>
      <c r="C20" s="178">
        <v>104.29</v>
      </c>
      <c r="D20" s="18">
        <v>40</v>
      </c>
      <c r="E20" s="167">
        <v>27</v>
      </c>
      <c r="F20" s="185">
        <f t="shared" si="0"/>
        <v>2815.8300000000004</v>
      </c>
      <c r="G20" s="6"/>
    </row>
    <row r="21" spans="1:7" x14ac:dyDescent="0.25">
      <c r="A21" s="20">
        <v>18</v>
      </c>
      <c r="B21" s="74" t="s">
        <v>214</v>
      </c>
      <c r="C21" s="178">
        <v>104.29</v>
      </c>
      <c r="D21" s="16">
        <v>41</v>
      </c>
      <c r="E21" s="166">
        <v>29</v>
      </c>
      <c r="F21" s="185">
        <f t="shared" si="0"/>
        <v>3024.4100000000003</v>
      </c>
      <c r="G21" s="6"/>
    </row>
    <row r="22" spans="1:7" x14ac:dyDescent="0.25">
      <c r="A22" s="20">
        <v>19</v>
      </c>
      <c r="B22" s="74" t="s">
        <v>215</v>
      </c>
      <c r="C22" s="178">
        <v>104.29</v>
      </c>
      <c r="D22" s="18">
        <v>42</v>
      </c>
      <c r="E22" s="166">
        <v>189</v>
      </c>
      <c r="F22" s="185">
        <f t="shared" si="0"/>
        <v>19710.810000000001</v>
      </c>
      <c r="G22" s="6"/>
    </row>
    <row r="23" spans="1:7" x14ac:dyDescent="0.25">
      <c r="A23" s="20">
        <v>20</v>
      </c>
      <c r="B23" s="74" t="s">
        <v>216</v>
      </c>
      <c r="C23" s="178">
        <v>104.29</v>
      </c>
      <c r="D23" s="18">
        <v>43</v>
      </c>
      <c r="E23" s="166">
        <v>63</v>
      </c>
      <c r="F23" s="185">
        <f t="shared" si="0"/>
        <v>6570.27</v>
      </c>
      <c r="G23" s="6"/>
    </row>
    <row r="24" spans="1:7" s="53" customFormat="1" x14ac:dyDescent="0.25">
      <c r="A24" s="20">
        <v>21</v>
      </c>
      <c r="B24" s="165" t="s">
        <v>217</v>
      </c>
      <c r="C24" s="178">
        <v>104.29</v>
      </c>
      <c r="D24" s="17">
        <v>44</v>
      </c>
      <c r="E24" s="166">
        <v>70</v>
      </c>
      <c r="F24" s="185">
        <f t="shared" si="0"/>
        <v>7300.3</v>
      </c>
      <c r="G24" s="51"/>
    </row>
    <row r="25" spans="1:7" x14ac:dyDescent="0.25">
      <c r="A25" s="20">
        <v>22</v>
      </c>
      <c r="B25" s="74" t="s">
        <v>218</v>
      </c>
      <c r="C25" s="178">
        <v>104.29</v>
      </c>
      <c r="D25" s="16">
        <v>45</v>
      </c>
      <c r="E25" s="168">
        <v>0</v>
      </c>
      <c r="F25" s="185">
        <f t="shared" si="0"/>
        <v>0</v>
      </c>
      <c r="G25" s="6"/>
    </row>
    <row r="26" spans="1:7" x14ac:dyDescent="0.25">
      <c r="A26" s="20">
        <v>23</v>
      </c>
      <c r="B26" s="74" t="s">
        <v>219</v>
      </c>
      <c r="C26" s="178">
        <v>104.29</v>
      </c>
      <c r="D26" s="16">
        <v>46</v>
      </c>
      <c r="E26" s="167">
        <v>1</v>
      </c>
      <c r="F26" s="185">
        <f t="shared" si="0"/>
        <v>104.29</v>
      </c>
      <c r="G26" s="6"/>
    </row>
    <row r="27" spans="1:7" x14ac:dyDescent="0.25">
      <c r="A27" s="20">
        <v>24</v>
      </c>
      <c r="B27" s="74" t="s">
        <v>220</v>
      </c>
      <c r="C27" s="178">
        <v>104.29</v>
      </c>
      <c r="D27" s="16">
        <v>48</v>
      </c>
      <c r="E27" s="168">
        <v>0</v>
      </c>
      <c r="F27" s="185">
        <f t="shared" si="0"/>
        <v>0</v>
      </c>
      <c r="G27" s="6"/>
    </row>
    <row r="28" spans="1:7" s="53" customFormat="1" x14ac:dyDescent="0.25">
      <c r="A28" s="20">
        <v>25</v>
      </c>
      <c r="B28" s="165" t="s">
        <v>221</v>
      </c>
      <c r="C28" s="178">
        <v>40</v>
      </c>
      <c r="D28" s="17"/>
      <c r="E28" s="166">
        <v>172</v>
      </c>
      <c r="F28" s="185">
        <f t="shared" si="0"/>
        <v>6880</v>
      </c>
      <c r="G28" s="51"/>
    </row>
    <row r="29" spans="1:7" x14ac:dyDescent="0.25">
      <c r="A29" s="20">
        <v>26</v>
      </c>
      <c r="B29" s="74" t="s">
        <v>222</v>
      </c>
      <c r="C29" s="178">
        <v>180.93</v>
      </c>
      <c r="D29" s="5" t="s">
        <v>11</v>
      </c>
      <c r="E29" s="167">
        <v>29</v>
      </c>
      <c r="F29" s="185">
        <f t="shared" si="0"/>
        <v>5246.97</v>
      </c>
      <c r="G29" s="6"/>
    </row>
    <row r="30" spans="1:7" s="53" customFormat="1" x14ac:dyDescent="0.25">
      <c r="A30" s="20">
        <v>27</v>
      </c>
      <c r="B30" s="165" t="s">
        <v>122</v>
      </c>
      <c r="C30" s="178">
        <v>75</v>
      </c>
      <c r="D30" s="5" t="s">
        <v>11</v>
      </c>
      <c r="E30" s="166">
        <v>173</v>
      </c>
      <c r="F30" s="185">
        <f t="shared" si="0"/>
        <v>12975</v>
      </c>
      <c r="G30" s="51"/>
    </row>
    <row r="31" spans="1:7" x14ac:dyDescent="0.25">
      <c r="A31" s="20">
        <v>28</v>
      </c>
      <c r="B31" s="74" t="s">
        <v>223</v>
      </c>
      <c r="C31" s="113">
        <v>48.25</v>
      </c>
      <c r="D31" s="5" t="s">
        <v>11</v>
      </c>
      <c r="E31" s="166">
        <v>46</v>
      </c>
      <c r="F31" s="185">
        <f t="shared" si="0"/>
        <v>2219.5</v>
      </c>
      <c r="G31" s="17"/>
    </row>
    <row r="32" spans="1:7" s="53" customFormat="1" x14ac:dyDescent="0.25">
      <c r="A32" s="20">
        <v>29</v>
      </c>
      <c r="B32" s="138" t="s">
        <v>40</v>
      </c>
      <c r="C32" s="178">
        <v>87.97</v>
      </c>
      <c r="D32" s="5" t="s">
        <v>11</v>
      </c>
      <c r="E32" s="166">
        <v>192</v>
      </c>
      <c r="F32" s="185">
        <f t="shared" si="0"/>
        <v>16890.239999999998</v>
      </c>
      <c r="G32" s="55"/>
    </row>
    <row r="33" spans="1:7" x14ac:dyDescent="0.25">
      <c r="A33" s="20">
        <v>30</v>
      </c>
      <c r="B33" s="74" t="s">
        <v>224</v>
      </c>
      <c r="C33" s="113">
        <v>584.20000000000005</v>
      </c>
      <c r="D33" s="5" t="s">
        <v>11</v>
      </c>
      <c r="E33" s="166">
        <v>21</v>
      </c>
      <c r="F33" s="185">
        <f t="shared" si="0"/>
        <v>12268.2</v>
      </c>
      <c r="G33" s="27"/>
    </row>
    <row r="34" spans="1:7" s="53" customFormat="1" x14ac:dyDescent="0.25">
      <c r="A34" s="20">
        <v>31</v>
      </c>
      <c r="B34" s="165" t="s">
        <v>225</v>
      </c>
      <c r="C34" s="178">
        <v>21</v>
      </c>
      <c r="D34" s="5" t="s">
        <v>11</v>
      </c>
      <c r="E34" s="166">
        <v>7</v>
      </c>
      <c r="F34" s="185">
        <f t="shared" si="0"/>
        <v>147</v>
      </c>
      <c r="G34" s="51"/>
    </row>
    <row r="35" spans="1:7" x14ac:dyDescent="0.25">
      <c r="A35" s="20">
        <v>32</v>
      </c>
      <c r="B35" s="74" t="s">
        <v>226</v>
      </c>
      <c r="C35" s="178">
        <v>39</v>
      </c>
      <c r="D35" s="5" t="s">
        <v>11</v>
      </c>
      <c r="E35" s="166">
        <v>17</v>
      </c>
      <c r="F35" s="185">
        <f t="shared" si="0"/>
        <v>663</v>
      </c>
      <c r="G35" s="6"/>
    </row>
    <row r="36" spans="1:7" x14ac:dyDescent="0.25">
      <c r="A36" s="20">
        <v>33</v>
      </c>
      <c r="B36" s="74" t="s">
        <v>227</v>
      </c>
      <c r="C36" s="183">
        <v>81.83</v>
      </c>
      <c r="D36" s="5" t="s">
        <v>11</v>
      </c>
      <c r="E36" s="167">
        <v>61</v>
      </c>
      <c r="F36" s="185">
        <f t="shared" si="0"/>
        <v>4991.63</v>
      </c>
      <c r="G36" s="6"/>
    </row>
    <row r="37" spans="1:7" x14ac:dyDescent="0.25">
      <c r="A37" s="20">
        <v>34</v>
      </c>
      <c r="B37" s="165" t="s">
        <v>89</v>
      </c>
      <c r="C37" s="183"/>
      <c r="D37" s="20"/>
      <c r="E37" s="166">
        <v>208</v>
      </c>
      <c r="F37" s="185"/>
      <c r="G37" s="6"/>
    </row>
    <row r="38" spans="1:7" s="53" customFormat="1" x14ac:dyDescent="0.25">
      <c r="A38" s="20">
        <v>35</v>
      </c>
      <c r="B38" s="74" t="s">
        <v>228</v>
      </c>
      <c r="C38" s="178">
        <v>28.94</v>
      </c>
      <c r="D38" s="5" t="s">
        <v>11</v>
      </c>
      <c r="E38" s="167">
        <v>109</v>
      </c>
      <c r="F38" s="185">
        <f t="shared" si="0"/>
        <v>3154.46</v>
      </c>
      <c r="G38" s="6"/>
    </row>
    <row r="39" spans="1:7" x14ac:dyDescent="0.25">
      <c r="A39" s="20">
        <v>36</v>
      </c>
      <c r="B39" s="165" t="s">
        <v>229</v>
      </c>
      <c r="C39" s="178">
        <v>8.6300000000000008</v>
      </c>
      <c r="D39" s="5" t="s">
        <v>11</v>
      </c>
      <c r="E39" s="166">
        <v>2</v>
      </c>
      <c r="F39" s="185">
        <f t="shared" si="0"/>
        <v>17.260000000000002</v>
      </c>
      <c r="G39" s="51"/>
    </row>
    <row r="40" spans="1:7" x14ac:dyDescent="0.25">
      <c r="A40" s="20">
        <v>37</v>
      </c>
      <c r="B40" s="230" t="s">
        <v>230</v>
      </c>
      <c r="C40" s="178">
        <v>267.69</v>
      </c>
      <c r="D40" s="17"/>
      <c r="E40" s="168">
        <v>0</v>
      </c>
      <c r="F40" s="185">
        <f t="shared" si="0"/>
        <v>0</v>
      </c>
      <c r="G40" s="6"/>
    </row>
    <row r="41" spans="1:7" x14ac:dyDescent="0.25">
      <c r="A41" s="20">
        <v>38</v>
      </c>
      <c r="B41" s="169" t="s">
        <v>91</v>
      </c>
      <c r="C41" s="178">
        <v>267.69</v>
      </c>
      <c r="D41" s="17"/>
      <c r="E41" s="168">
        <v>0</v>
      </c>
      <c r="F41" s="185">
        <f t="shared" si="0"/>
        <v>0</v>
      </c>
      <c r="G41" s="6"/>
    </row>
    <row r="42" spans="1:7" x14ac:dyDescent="0.25">
      <c r="A42" s="20">
        <v>39</v>
      </c>
      <c r="B42" s="74" t="s">
        <v>231</v>
      </c>
      <c r="C42" s="178">
        <v>9.8000000000000007</v>
      </c>
      <c r="D42" s="17"/>
      <c r="E42" s="167">
        <v>100</v>
      </c>
      <c r="F42" s="185">
        <f>C43*E42</f>
        <v>3066</v>
      </c>
      <c r="G42" s="6"/>
    </row>
    <row r="43" spans="1:7" s="53" customFormat="1" x14ac:dyDescent="0.25">
      <c r="A43" s="20">
        <v>40</v>
      </c>
      <c r="B43" s="165" t="s">
        <v>176</v>
      </c>
      <c r="C43" s="178">
        <v>30.66</v>
      </c>
      <c r="D43" s="17"/>
      <c r="E43" s="166">
        <v>241</v>
      </c>
      <c r="F43" s="185">
        <f>C44*E43</f>
        <v>9158</v>
      </c>
      <c r="G43" s="6"/>
    </row>
    <row r="44" spans="1:7" s="53" customFormat="1" x14ac:dyDescent="0.25">
      <c r="A44" s="20">
        <v>41</v>
      </c>
      <c r="B44" s="165" t="s">
        <v>134</v>
      </c>
      <c r="C44" s="178">
        <v>38</v>
      </c>
      <c r="D44" s="17"/>
      <c r="E44" s="166">
        <v>50</v>
      </c>
      <c r="F44" s="185">
        <f>C44*E44</f>
        <v>1900</v>
      </c>
      <c r="G44" s="51"/>
    </row>
    <row r="45" spans="1:7" x14ac:dyDescent="0.25">
      <c r="A45" s="20">
        <v>42</v>
      </c>
      <c r="B45" s="74" t="s">
        <v>232</v>
      </c>
      <c r="C45" s="125">
        <v>36.31</v>
      </c>
      <c r="D45" s="17"/>
      <c r="E45" s="167">
        <v>29</v>
      </c>
      <c r="F45" s="185">
        <f>C45*E45</f>
        <v>1052.99</v>
      </c>
      <c r="G45" s="6"/>
    </row>
    <row r="46" spans="1:7" x14ac:dyDescent="0.25">
      <c r="A46" s="20">
        <v>43</v>
      </c>
      <c r="B46" s="74" t="s">
        <v>233</v>
      </c>
      <c r="C46" s="178">
        <v>23.7</v>
      </c>
      <c r="D46" s="17"/>
      <c r="E46" s="167">
        <v>35</v>
      </c>
      <c r="F46" s="185"/>
      <c r="G46" s="6"/>
    </row>
    <row r="47" spans="1:7" s="53" customFormat="1" x14ac:dyDescent="0.25">
      <c r="A47" s="20">
        <v>44</v>
      </c>
      <c r="B47" s="165" t="s">
        <v>234</v>
      </c>
      <c r="C47" s="184"/>
      <c r="D47" s="5" t="s">
        <v>11</v>
      </c>
      <c r="E47" s="166">
        <v>198</v>
      </c>
      <c r="F47" s="185">
        <f t="shared" ref="F47:F66" si="2">C47*E47</f>
        <v>0</v>
      </c>
      <c r="G47" s="51"/>
    </row>
    <row r="48" spans="1:7" x14ac:dyDescent="0.25">
      <c r="A48" s="20">
        <v>45</v>
      </c>
      <c r="B48" s="74" t="s">
        <v>235</v>
      </c>
      <c r="C48" s="124">
        <v>62.14</v>
      </c>
      <c r="D48" s="5" t="s">
        <v>11</v>
      </c>
      <c r="E48" s="167">
        <v>15</v>
      </c>
      <c r="F48" s="185">
        <f t="shared" si="2"/>
        <v>932.1</v>
      </c>
      <c r="G48" s="6"/>
    </row>
    <row r="49" spans="1:7" x14ac:dyDescent="0.25">
      <c r="A49" s="20">
        <v>46</v>
      </c>
      <c r="B49" s="74" t="s">
        <v>236</v>
      </c>
      <c r="C49" s="124">
        <v>4</v>
      </c>
      <c r="D49" s="17"/>
      <c r="E49" s="167">
        <v>21</v>
      </c>
      <c r="F49" s="185">
        <f t="shared" si="2"/>
        <v>84</v>
      </c>
      <c r="G49" s="6"/>
    </row>
    <row r="50" spans="1:7" x14ac:dyDescent="0.25">
      <c r="A50" s="20">
        <v>47</v>
      </c>
      <c r="B50" s="165" t="s">
        <v>64</v>
      </c>
      <c r="C50" s="124">
        <v>4.8499999999999996</v>
      </c>
      <c r="D50" s="5" t="s">
        <v>11</v>
      </c>
      <c r="E50" s="166">
        <v>25</v>
      </c>
      <c r="F50" s="185">
        <f t="shared" si="2"/>
        <v>121.24999999999999</v>
      </c>
      <c r="G50" s="51"/>
    </row>
    <row r="51" spans="1:7" x14ac:dyDescent="0.25">
      <c r="A51" s="20">
        <v>48</v>
      </c>
      <c r="B51" s="74" t="s">
        <v>237</v>
      </c>
      <c r="C51" s="179">
        <v>8.08</v>
      </c>
      <c r="D51" s="5" t="s">
        <v>11</v>
      </c>
      <c r="E51" s="166">
        <v>2</v>
      </c>
      <c r="F51" s="185">
        <f t="shared" si="2"/>
        <v>16.16</v>
      </c>
      <c r="G51" s="6"/>
    </row>
    <row r="52" spans="1:7" x14ac:dyDescent="0.25">
      <c r="A52" s="20">
        <v>49</v>
      </c>
      <c r="B52" s="74" t="s">
        <v>238</v>
      </c>
      <c r="C52" s="124">
        <v>9</v>
      </c>
      <c r="D52" s="5" t="s">
        <v>11</v>
      </c>
      <c r="E52" s="166">
        <v>13</v>
      </c>
      <c r="F52" s="185">
        <f t="shared" si="2"/>
        <v>117</v>
      </c>
      <c r="G52" s="6"/>
    </row>
    <row r="53" spans="1:7" x14ac:dyDescent="0.25">
      <c r="A53" s="20">
        <v>50</v>
      </c>
      <c r="B53" s="165" t="s">
        <v>239</v>
      </c>
      <c r="C53" s="124"/>
      <c r="D53" s="20">
        <v>35</v>
      </c>
      <c r="E53" s="233">
        <v>0</v>
      </c>
      <c r="F53" s="185"/>
      <c r="G53" s="6"/>
    </row>
    <row r="54" spans="1:7" x14ac:dyDescent="0.25">
      <c r="A54" s="20">
        <v>51</v>
      </c>
      <c r="B54" s="165" t="s">
        <v>240</v>
      </c>
      <c r="C54" s="124"/>
      <c r="D54" s="20">
        <v>36</v>
      </c>
      <c r="E54" s="233">
        <v>0</v>
      </c>
      <c r="F54" s="185"/>
      <c r="G54" s="6"/>
    </row>
    <row r="55" spans="1:7" x14ac:dyDescent="0.25">
      <c r="A55" s="20">
        <v>52</v>
      </c>
      <c r="B55" s="165" t="s">
        <v>241</v>
      </c>
      <c r="C55" s="124"/>
      <c r="D55" s="20">
        <v>37</v>
      </c>
      <c r="E55" s="166">
        <v>16</v>
      </c>
      <c r="F55" s="185"/>
      <c r="G55" s="6"/>
    </row>
    <row r="56" spans="1:7" x14ac:dyDescent="0.25">
      <c r="A56" s="20">
        <v>53</v>
      </c>
      <c r="B56" s="165" t="s">
        <v>242</v>
      </c>
      <c r="C56" s="124"/>
      <c r="D56" s="20">
        <v>38</v>
      </c>
      <c r="E56" s="166">
        <v>13</v>
      </c>
      <c r="F56" s="185"/>
      <c r="G56" s="6"/>
    </row>
    <row r="57" spans="1:7" x14ac:dyDescent="0.25">
      <c r="A57" s="20">
        <v>54</v>
      </c>
      <c r="B57" s="165" t="s">
        <v>243</v>
      </c>
      <c r="C57" s="124"/>
      <c r="D57" s="20">
        <v>39</v>
      </c>
      <c r="E57" s="166">
        <v>14</v>
      </c>
      <c r="F57" s="185"/>
      <c r="G57" s="6"/>
    </row>
    <row r="58" spans="1:7" x14ac:dyDescent="0.25">
      <c r="A58" s="20">
        <v>55</v>
      </c>
      <c r="B58" s="165" t="s">
        <v>244</v>
      </c>
      <c r="C58" s="124"/>
      <c r="D58" s="20">
        <v>40</v>
      </c>
      <c r="E58" s="166">
        <v>9</v>
      </c>
      <c r="F58" s="185"/>
      <c r="G58" s="6"/>
    </row>
    <row r="59" spans="1:7" x14ac:dyDescent="0.25">
      <c r="A59" s="20">
        <v>56</v>
      </c>
      <c r="B59" s="165" t="s">
        <v>245</v>
      </c>
      <c r="C59" s="124"/>
      <c r="D59" s="20">
        <v>41</v>
      </c>
      <c r="E59" s="166">
        <v>10</v>
      </c>
      <c r="F59" s="185"/>
      <c r="G59" s="6"/>
    </row>
    <row r="60" spans="1:7" x14ac:dyDescent="0.25">
      <c r="A60" s="20">
        <v>57</v>
      </c>
      <c r="B60" s="165" t="s">
        <v>246</v>
      </c>
      <c r="C60" s="124"/>
      <c r="D60" s="20">
        <v>42</v>
      </c>
      <c r="E60" s="166">
        <v>41</v>
      </c>
      <c r="F60" s="185"/>
      <c r="G60" s="6"/>
    </row>
    <row r="61" spans="1:7" x14ac:dyDescent="0.25">
      <c r="A61" s="20">
        <v>58</v>
      </c>
      <c r="B61" s="165" t="s">
        <v>247</v>
      </c>
      <c r="C61" s="124"/>
      <c r="D61" s="20">
        <v>43</v>
      </c>
      <c r="E61" s="166">
        <v>73</v>
      </c>
      <c r="F61" s="185"/>
      <c r="G61" s="6"/>
    </row>
    <row r="62" spans="1:7" x14ac:dyDescent="0.25">
      <c r="A62" s="20">
        <v>59</v>
      </c>
      <c r="B62" s="165" t="s">
        <v>248</v>
      </c>
      <c r="C62" s="124"/>
      <c r="D62" s="20">
        <v>44</v>
      </c>
      <c r="E62" s="233">
        <v>0</v>
      </c>
      <c r="F62" s="185"/>
      <c r="G62" s="6"/>
    </row>
    <row r="63" spans="1:7" x14ac:dyDescent="0.25">
      <c r="A63" s="20">
        <v>60</v>
      </c>
      <c r="B63" s="165" t="s">
        <v>249</v>
      </c>
      <c r="C63" s="124"/>
      <c r="D63" s="20">
        <v>45</v>
      </c>
      <c r="E63" s="233">
        <v>0</v>
      </c>
      <c r="F63" s="185"/>
      <c r="G63" s="6"/>
    </row>
    <row r="64" spans="1:7" x14ac:dyDescent="0.25">
      <c r="A64" s="20">
        <v>61</v>
      </c>
      <c r="B64" s="165" t="s">
        <v>250</v>
      </c>
      <c r="C64" s="124"/>
      <c r="D64" s="20">
        <v>46</v>
      </c>
      <c r="E64" s="233">
        <v>0</v>
      </c>
      <c r="F64" s="185"/>
      <c r="G64" s="6"/>
    </row>
    <row r="65" spans="1:7" x14ac:dyDescent="0.25">
      <c r="A65" s="20">
        <v>62</v>
      </c>
      <c r="B65" s="74" t="s">
        <v>144</v>
      </c>
      <c r="C65" s="178">
        <v>41.39</v>
      </c>
      <c r="D65" s="5" t="s">
        <v>11</v>
      </c>
      <c r="E65" s="167">
        <v>2</v>
      </c>
      <c r="F65" s="185">
        <f t="shared" si="2"/>
        <v>82.78</v>
      </c>
      <c r="G65" s="6"/>
    </row>
    <row r="66" spans="1:7" x14ac:dyDescent="0.25">
      <c r="A66" s="20">
        <v>63</v>
      </c>
      <c r="B66" s="169" t="s">
        <v>251</v>
      </c>
      <c r="C66" s="124">
        <v>148.03</v>
      </c>
      <c r="D66" s="5" t="s">
        <v>11</v>
      </c>
      <c r="E66" s="167">
        <v>4</v>
      </c>
      <c r="F66" s="185">
        <f t="shared" si="2"/>
        <v>592.12</v>
      </c>
      <c r="G66" s="6"/>
    </row>
    <row r="67" spans="1:7" x14ac:dyDescent="0.25">
      <c r="A67" s="20">
        <v>64</v>
      </c>
      <c r="B67" s="434" t="s">
        <v>252</v>
      </c>
      <c r="C67" s="124">
        <v>24.55</v>
      </c>
      <c r="D67" s="5"/>
      <c r="E67" s="167">
        <v>202</v>
      </c>
      <c r="F67" s="185">
        <f t="shared" ref="F67:F68" si="3">C67*E67</f>
        <v>4959.1000000000004</v>
      </c>
      <c r="G67" s="6"/>
    </row>
    <row r="68" spans="1:7" x14ac:dyDescent="0.25">
      <c r="A68" s="20">
        <v>65</v>
      </c>
      <c r="B68" s="133" t="s">
        <v>69</v>
      </c>
      <c r="C68" s="178">
        <v>890.46</v>
      </c>
      <c r="D68" s="5" t="s">
        <v>11</v>
      </c>
      <c r="E68" s="166">
        <v>99</v>
      </c>
      <c r="F68" s="185">
        <f t="shared" si="3"/>
        <v>88155.540000000008</v>
      </c>
      <c r="G68" s="6"/>
    </row>
    <row r="69" spans="1:7" x14ac:dyDescent="0.25">
      <c r="A69" s="20">
        <v>66</v>
      </c>
      <c r="B69" s="74" t="s">
        <v>253</v>
      </c>
      <c r="C69" s="178">
        <v>355</v>
      </c>
      <c r="D69" s="5" t="s">
        <v>11</v>
      </c>
      <c r="E69" s="167">
        <v>125</v>
      </c>
      <c r="F69" s="185">
        <f>C69*E69</f>
        <v>44375</v>
      </c>
      <c r="G69" s="6"/>
    </row>
    <row r="70" spans="1:7" x14ac:dyDescent="0.25">
      <c r="A70" s="20">
        <v>67</v>
      </c>
      <c r="B70" s="74" t="s">
        <v>254</v>
      </c>
      <c r="C70" s="178">
        <v>280.39</v>
      </c>
      <c r="D70" s="5" t="s">
        <v>11</v>
      </c>
      <c r="E70" s="167">
        <v>38</v>
      </c>
      <c r="F70" s="185">
        <f>C70*E70</f>
        <v>10654.82</v>
      </c>
      <c r="G70" s="6"/>
    </row>
    <row r="71" spans="1:7" x14ac:dyDescent="0.25">
      <c r="A71" s="20">
        <v>68</v>
      </c>
      <c r="B71" s="165" t="s">
        <v>255</v>
      </c>
      <c r="C71" s="178"/>
      <c r="D71" s="20"/>
      <c r="E71" s="166">
        <v>70</v>
      </c>
      <c r="F71" s="185"/>
      <c r="G71" s="6"/>
    </row>
    <row r="72" spans="1:7" x14ac:dyDescent="0.25">
      <c r="A72" s="20">
        <v>69</v>
      </c>
      <c r="B72" s="74" t="s">
        <v>256</v>
      </c>
      <c r="C72" s="178">
        <v>385</v>
      </c>
      <c r="D72" s="5" t="s">
        <v>11</v>
      </c>
      <c r="E72" s="233">
        <v>0</v>
      </c>
      <c r="F72" s="185">
        <f>C72*E72</f>
        <v>0</v>
      </c>
      <c r="G72" s="6"/>
    </row>
    <row r="73" spans="1:7" x14ac:dyDescent="0.25">
      <c r="A73" s="20">
        <v>70</v>
      </c>
      <c r="B73" s="133" t="s">
        <v>73</v>
      </c>
      <c r="C73" s="183">
        <v>311.64999999999998</v>
      </c>
      <c r="D73" s="5" t="s">
        <v>11</v>
      </c>
      <c r="E73" s="166">
        <v>178</v>
      </c>
      <c r="F73" s="185">
        <f>C73*E73</f>
        <v>55473.7</v>
      </c>
      <c r="G73" s="6"/>
    </row>
    <row r="74" spans="1:7" x14ac:dyDescent="0.25">
      <c r="A74" s="121"/>
      <c r="B74" s="87"/>
      <c r="C74" s="147"/>
      <c r="D74" s="85"/>
      <c r="E74" s="148"/>
      <c r="F74" s="157">
        <f>SUM(F5:F73)</f>
        <v>328014.11000000004</v>
      </c>
      <c r="G74" s="149"/>
    </row>
    <row r="75" spans="1:7" x14ac:dyDescent="0.25">
      <c r="A75" s="496"/>
      <c r="B75" s="497"/>
      <c r="C75" s="497"/>
      <c r="D75" s="497"/>
      <c r="E75" s="497"/>
      <c r="F75" s="497"/>
      <c r="G75" s="498"/>
    </row>
    <row r="76" spans="1:7" x14ac:dyDescent="0.25">
      <c r="A76" s="486" t="s">
        <v>257</v>
      </c>
      <c r="B76" s="486"/>
      <c r="C76" s="486"/>
      <c r="D76" s="486"/>
      <c r="E76" s="486"/>
      <c r="F76" s="486"/>
      <c r="G76" s="487"/>
    </row>
    <row r="77" spans="1:7" ht="13.5" customHeight="1" x14ac:dyDescent="0.25">
      <c r="A77" s="120" t="s">
        <v>3</v>
      </c>
      <c r="B77" s="120" t="s">
        <v>4</v>
      </c>
      <c r="C77" s="120" t="s">
        <v>5</v>
      </c>
      <c r="D77" s="118" t="s">
        <v>6</v>
      </c>
      <c r="E77" s="118" t="s">
        <v>7</v>
      </c>
      <c r="F77" s="118" t="s">
        <v>8</v>
      </c>
      <c r="G77" s="118" t="s">
        <v>9</v>
      </c>
    </row>
    <row r="78" spans="1:7" x14ac:dyDescent="0.25">
      <c r="A78" s="493" t="s">
        <v>75</v>
      </c>
      <c r="B78" s="494"/>
      <c r="C78" s="494"/>
      <c r="D78" s="494"/>
      <c r="E78" s="494"/>
      <c r="F78" s="494"/>
      <c r="G78" s="495"/>
    </row>
    <row r="79" spans="1:7" ht="15.75" customHeight="1" x14ac:dyDescent="0.25">
      <c r="A79" s="106">
        <v>1</v>
      </c>
      <c r="B79" s="151" t="s">
        <v>258</v>
      </c>
      <c r="C79" s="134">
        <v>44</v>
      </c>
      <c r="D79" s="5" t="s">
        <v>11</v>
      </c>
      <c r="E79" s="152">
        <v>0</v>
      </c>
      <c r="F79" s="182">
        <f>C79*E79</f>
        <v>0</v>
      </c>
      <c r="G79" s="6"/>
    </row>
    <row r="80" spans="1:7" ht="15.75" customHeight="1" x14ac:dyDescent="0.25">
      <c r="A80" s="106">
        <v>2</v>
      </c>
      <c r="B80" s="151" t="s">
        <v>259</v>
      </c>
      <c r="C80" s="134">
        <v>65</v>
      </c>
      <c r="D80" s="5" t="s">
        <v>11</v>
      </c>
      <c r="E80" s="153">
        <v>0</v>
      </c>
      <c r="F80" s="182">
        <f>C80*E80</f>
        <v>0</v>
      </c>
      <c r="G80" s="6"/>
    </row>
    <row r="81" spans="1:7" ht="15.75" customHeight="1" x14ac:dyDescent="0.25">
      <c r="A81" s="106">
        <v>3</v>
      </c>
      <c r="B81" s="151" t="s">
        <v>260</v>
      </c>
      <c r="C81" s="134">
        <v>98.7</v>
      </c>
      <c r="D81" s="5" t="s">
        <v>11</v>
      </c>
      <c r="E81" s="153">
        <v>0</v>
      </c>
      <c r="F81" s="182">
        <f>C81*E81</f>
        <v>0</v>
      </c>
      <c r="G81" s="6"/>
    </row>
    <row r="82" spans="1:7" ht="15.75" customHeight="1" x14ac:dyDescent="0.25">
      <c r="A82" s="106">
        <v>4</v>
      </c>
      <c r="B82" s="151" t="s">
        <v>261</v>
      </c>
      <c r="C82" s="134">
        <v>143.56</v>
      </c>
      <c r="D82" s="5" t="s">
        <v>11</v>
      </c>
      <c r="E82" s="153">
        <v>0</v>
      </c>
      <c r="F82" s="182">
        <f>C82*E82</f>
        <v>0</v>
      </c>
      <c r="G82" s="6"/>
    </row>
    <row r="83" spans="1:7" ht="15.75" customHeight="1" x14ac:dyDescent="0.25">
      <c r="A83" s="489" t="s">
        <v>163</v>
      </c>
      <c r="B83" s="489"/>
      <c r="C83" s="489"/>
      <c r="D83" s="489"/>
      <c r="E83" s="489"/>
      <c r="F83" s="489"/>
      <c r="G83" s="489"/>
    </row>
    <row r="84" spans="1:7" ht="15.75" customHeight="1" x14ac:dyDescent="0.25">
      <c r="A84" s="106">
        <v>1</v>
      </c>
      <c r="B84" s="151" t="s">
        <v>258</v>
      </c>
      <c r="C84" s="134">
        <v>44</v>
      </c>
      <c r="D84" s="5" t="s">
        <v>11</v>
      </c>
      <c r="E84" s="152">
        <v>35</v>
      </c>
      <c r="F84" s="182">
        <f>C84*E84</f>
        <v>1540</v>
      </c>
      <c r="G84" s="6"/>
    </row>
    <row r="85" spans="1:7" ht="15.75" customHeight="1" x14ac:dyDescent="0.25">
      <c r="A85" s="106">
        <v>2</v>
      </c>
      <c r="B85" s="151" t="s">
        <v>259</v>
      </c>
      <c r="C85" s="134">
        <v>65</v>
      </c>
      <c r="D85" s="5" t="s">
        <v>11</v>
      </c>
      <c r="E85" s="152">
        <v>70</v>
      </c>
      <c r="F85" s="182">
        <f>C85*E85</f>
        <v>4550</v>
      </c>
      <c r="G85" s="6"/>
    </row>
    <row r="86" spans="1:7" ht="15.75" customHeight="1" x14ac:dyDescent="0.25">
      <c r="A86" s="106">
        <v>3</v>
      </c>
      <c r="B86" s="151" t="s">
        <v>260</v>
      </c>
      <c r="C86" s="134">
        <v>98.7</v>
      </c>
      <c r="D86" s="5" t="s">
        <v>11</v>
      </c>
      <c r="E86" s="152">
        <v>35</v>
      </c>
      <c r="F86" s="182">
        <f>C86*E86</f>
        <v>3454.5</v>
      </c>
      <c r="G86" s="6"/>
    </row>
    <row r="87" spans="1:7" ht="15.75" customHeight="1" x14ac:dyDescent="0.25">
      <c r="A87" s="106">
        <v>4</v>
      </c>
      <c r="B87" s="151" t="s">
        <v>261</v>
      </c>
      <c r="C87" s="134">
        <v>143.56</v>
      </c>
      <c r="D87" s="5" t="s">
        <v>11</v>
      </c>
      <c r="E87" s="155">
        <v>10</v>
      </c>
      <c r="F87" s="182">
        <f>C87*E87</f>
        <v>1435.6</v>
      </c>
      <c r="G87" s="6"/>
    </row>
    <row r="88" spans="1:7" ht="15.75" customHeight="1" x14ac:dyDescent="0.25">
      <c r="A88" s="88"/>
      <c r="B88" s="87"/>
      <c r="C88" s="89"/>
      <c r="D88" s="154"/>
      <c r="E88" s="148"/>
      <c r="F88" s="156" cm="1">
        <f t="array" ref="F88">SUM(F79:F82+F84:F87)</f>
        <v>10980.1</v>
      </c>
      <c r="G88" s="90"/>
    </row>
  </sheetData>
  <mergeCells count="7">
    <mergeCell ref="A1:G1"/>
    <mergeCell ref="A2:G2"/>
    <mergeCell ref="A3:G3"/>
    <mergeCell ref="A78:G78"/>
    <mergeCell ref="A83:G83"/>
    <mergeCell ref="A75:G75"/>
    <mergeCell ref="A76:G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F706-6D1B-40AB-BEB6-1B52DD45A18C}">
  <sheetPr>
    <tabColor rgb="FFFFFF00"/>
  </sheetPr>
  <dimension ref="A1:H87"/>
  <sheetViews>
    <sheetView tabSelected="1" workbookViewId="0">
      <selection activeCell="F8" sqref="F8"/>
    </sheetView>
  </sheetViews>
  <sheetFormatPr defaultRowHeight="15" x14ac:dyDescent="0.25"/>
  <cols>
    <col min="1" max="1" width="8.42578125" customWidth="1"/>
    <col min="2" max="2" width="49.140625" customWidth="1"/>
    <col min="3" max="3" width="13.140625" customWidth="1"/>
    <col min="4" max="4" width="14" style="30" customWidth="1"/>
    <col min="5" max="5" width="11.28515625" style="30" customWidth="1"/>
    <col min="6" max="6" width="15.28515625" style="30" bestFit="1" customWidth="1"/>
    <col min="7" max="7" width="14.140625" customWidth="1"/>
    <col min="8" max="8" width="9.85546875" bestFit="1" customWidth="1"/>
  </cols>
  <sheetData>
    <row r="1" spans="1:7" ht="18" customHeight="1" x14ac:dyDescent="0.25">
      <c r="A1" s="447" t="s">
        <v>262</v>
      </c>
      <c r="B1" s="447"/>
      <c r="C1" s="447"/>
      <c r="D1" s="447"/>
      <c r="E1" s="447"/>
      <c r="F1" s="447"/>
      <c r="G1" s="447"/>
    </row>
    <row r="2" spans="1:7" ht="18" customHeight="1" x14ac:dyDescent="0.25">
      <c r="A2" s="447" t="s">
        <v>365</v>
      </c>
      <c r="B2" s="447"/>
      <c r="C2" s="447"/>
      <c r="D2" s="447"/>
      <c r="E2" s="447"/>
      <c r="F2" s="447"/>
      <c r="G2" s="447"/>
    </row>
    <row r="3" spans="1:7" ht="18" customHeight="1" x14ac:dyDescent="0.25">
      <c r="A3" s="447" t="s">
        <v>263</v>
      </c>
      <c r="B3" s="447"/>
      <c r="C3" s="447"/>
      <c r="D3" s="447"/>
      <c r="E3" s="447"/>
      <c r="F3" s="447"/>
      <c r="G3" s="447"/>
    </row>
    <row r="4" spans="1:7" x14ac:dyDescent="0.25">
      <c r="A4" s="28" t="s">
        <v>3</v>
      </c>
      <c r="B4" s="28" t="s">
        <v>4</v>
      </c>
      <c r="C4" s="60" t="s">
        <v>5</v>
      </c>
      <c r="D4" s="2" t="s">
        <v>6</v>
      </c>
      <c r="E4" s="2" t="s">
        <v>7</v>
      </c>
      <c r="F4" s="61" t="s">
        <v>8</v>
      </c>
      <c r="G4" s="12" t="s">
        <v>9</v>
      </c>
    </row>
    <row r="5" spans="1:7" x14ac:dyDescent="0.25">
      <c r="A5" s="16">
        <v>1</v>
      </c>
      <c r="B5" s="197" t="s">
        <v>200</v>
      </c>
      <c r="C5" s="198"/>
      <c r="D5" s="16" t="s">
        <v>11</v>
      </c>
      <c r="E5" s="199">
        <v>0</v>
      </c>
      <c r="F5" s="177">
        <f t="shared" ref="F5:F72" si="0">C5*E5</f>
        <v>0</v>
      </c>
      <c r="G5" s="27"/>
    </row>
    <row r="6" spans="1:7" x14ac:dyDescent="0.25">
      <c r="A6" s="16">
        <v>2</v>
      </c>
      <c r="B6" s="200" t="s">
        <v>10</v>
      </c>
      <c r="C6" s="187">
        <v>126.1</v>
      </c>
      <c r="D6" s="16" t="s">
        <v>11</v>
      </c>
      <c r="E6" s="202">
        <v>56</v>
      </c>
      <c r="F6" s="177">
        <f t="shared" si="0"/>
        <v>7061.5999999999995</v>
      </c>
      <c r="G6" s="27"/>
    </row>
    <row r="7" spans="1:7" x14ac:dyDescent="0.25">
      <c r="A7" s="16">
        <v>3</v>
      </c>
      <c r="B7" s="200" t="s">
        <v>206</v>
      </c>
      <c r="C7" s="187">
        <v>104.29</v>
      </c>
      <c r="D7" s="18">
        <v>33</v>
      </c>
      <c r="E7" s="210">
        <v>1</v>
      </c>
      <c r="F7" s="177">
        <f t="shared" si="0"/>
        <v>104.29</v>
      </c>
      <c r="G7" s="27"/>
    </row>
    <row r="8" spans="1:7" x14ac:dyDescent="0.25">
      <c r="A8" s="16">
        <v>4</v>
      </c>
      <c r="B8" s="200" t="s">
        <v>207</v>
      </c>
      <c r="C8" s="187">
        <v>104.29</v>
      </c>
      <c r="D8" s="18">
        <v>34</v>
      </c>
      <c r="E8" s="202">
        <v>1</v>
      </c>
      <c r="F8" s="177">
        <f t="shared" si="0"/>
        <v>104.29</v>
      </c>
      <c r="G8" s="27"/>
    </row>
    <row r="9" spans="1:7" x14ac:dyDescent="0.25">
      <c r="A9" s="16">
        <v>5</v>
      </c>
      <c r="B9" s="200" t="s">
        <v>208</v>
      </c>
      <c r="C9" s="187">
        <v>104.29</v>
      </c>
      <c r="D9" s="18">
        <v>35</v>
      </c>
      <c r="E9" s="202">
        <v>8</v>
      </c>
      <c r="F9" s="177">
        <f t="shared" si="0"/>
        <v>834.32</v>
      </c>
      <c r="G9" s="27"/>
    </row>
    <row r="10" spans="1:7" x14ac:dyDescent="0.25">
      <c r="A10" s="16">
        <v>6</v>
      </c>
      <c r="B10" s="200" t="s">
        <v>209</v>
      </c>
      <c r="C10" s="187">
        <v>104.29</v>
      </c>
      <c r="D10" s="18">
        <v>36</v>
      </c>
      <c r="E10" s="201">
        <v>2</v>
      </c>
      <c r="F10" s="177">
        <f t="shared" si="0"/>
        <v>208.58</v>
      </c>
      <c r="G10" s="27"/>
    </row>
    <row r="11" spans="1:7" x14ac:dyDescent="0.25">
      <c r="A11" s="16">
        <v>7</v>
      </c>
      <c r="B11" s="200" t="s">
        <v>210</v>
      </c>
      <c r="C11" s="187">
        <v>104.29</v>
      </c>
      <c r="D11" s="18">
        <v>37</v>
      </c>
      <c r="E11" s="201">
        <v>0</v>
      </c>
      <c r="F11" s="177">
        <f t="shared" si="0"/>
        <v>0</v>
      </c>
      <c r="G11" s="27"/>
    </row>
    <row r="12" spans="1:7" x14ac:dyDescent="0.25">
      <c r="A12" s="16">
        <v>8</v>
      </c>
      <c r="B12" s="200" t="s">
        <v>211</v>
      </c>
      <c r="C12" s="187">
        <v>104.29</v>
      </c>
      <c r="D12" s="18">
        <v>38</v>
      </c>
      <c r="E12" s="201">
        <v>0</v>
      </c>
      <c r="F12" s="177">
        <f t="shared" si="0"/>
        <v>0</v>
      </c>
      <c r="G12" s="27"/>
    </row>
    <row r="13" spans="1:7" x14ac:dyDescent="0.25">
      <c r="A13" s="16">
        <v>9</v>
      </c>
      <c r="B13" s="200" t="s">
        <v>212</v>
      </c>
      <c r="C13" s="187">
        <v>104.29</v>
      </c>
      <c r="D13" s="18">
        <v>39</v>
      </c>
      <c r="E13" s="201">
        <v>3</v>
      </c>
      <c r="F13" s="177">
        <f t="shared" si="0"/>
        <v>312.87</v>
      </c>
      <c r="G13" s="27"/>
    </row>
    <row r="14" spans="1:7" x14ac:dyDescent="0.25">
      <c r="A14" s="16">
        <v>10</v>
      </c>
      <c r="B14" s="200" t="s">
        <v>213</v>
      </c>
      <c r="C14" s="187">
        <v>104.29</v>
      </c>
      <c r="D14" s="18">
        <v>40</v>
      </c>
      <c r="E14" s="201">
        <v>2</v>
      </c>
      <c r="F14" s="177">
        <f t="shared" si="0"/>
        <v>208.58</v>
      </c>
      <c r="G14" s="27"/>
    </row>
    <row r="15" spans="1:7" x14ac:dyDescent="0.25">
      <c r="A15" s="16">
        <v>11</v>
      </c>
      <c r="B15" s="200" t="s">
        <v>214</v>
      </c>
      <c r="C15" s="187">
        <v>104.29</v>
      </c>
      <c r="D15" s="16">
        <v>41</v>
      </c>
      <c r="E15" s="201">
        <v>0</v>
      </c>
      <c r="F15" s="177">
        <f t="shared" si="0"/>
        <v>0</v>
      </c>
      <c r="G15" s="27"/>
    </row>
    <row r="16" spans="1:7" x14ac:dyDescent="0.25">
      <c r="A16" s="16">
        <v>12</v>
      </c>
      <c r="B16" s="200" t="s">
        <v>215</v>
      </c>
      <c r="C16" s="187">
        <v>104.29</v>
      </c>
      <c r="D16" s="18">
        <v>42</v>
      </c>
      <c r="E16" s="202">
        <v>4</v>
      </c>
      <c r="F16" s="177">
        <f t="shared" si="0"/>
        <v>417.16</v>
      </c>
      <c r="G16" s="27"/>
    </row>
    <row r="17" spans="1:7" x14ac:dyDescent="0.25">
      <c r="A17" s="16">
        <v>13</v>
      </c>
      <c r="B17" s="200" t="s">
        <v>216</v>
      </c>
      <c r="C17" s="187">
        <v>104.29</v>
      </c>
      <c r="D17" s="18">
        <v>43</v>
      </c>
      <c r="E17" s="202">
        <v>8</v>
      </c>
      <c r="F17" s="177">
        <f t="shared" si="0"/>
        <v>834.32</v>
      </c>
      <c r="G17" s="27"/>
    </row>
    <row r="18" spans="1:7" x14ac:dyDescent="0.25">
      <c r="A18" s="16">
        <v>14</v>
      </c>
      <c r="B18" s="200" t="s">
        <v>217</v>
      </c>
      <c r="C18" s="187">
        <v>104.29</v>
      </c>
      <c r="D18" s="16">
        <v>44</v>
      </c>
      <c r="E18" s="202">
        <v>4</v>
      </c>
      <c r="F18" s="177">
        <f t="shared" si="0"/>
        <v>417.16</v>
      </c>
      <c r="G18" s="27"/>
    </row>
    <row r="19" spans="1:7" x14ac:dyDescent="0.25">
      <c r="A19" s="16">
        <v>15</v>
      </c>
      <c r="B19" s="200" t="s">
        <v>218</v>
      </c>
      <c r="C19" s="187">
        <v>104.29</v>
      </c>
      <c r="D19" s="16">
        <v>45</v>
      </c>
      <c r="E19" s="202">
        <v>0</v>
      </c>
      <c r="F19" s="177">
        <f t="shared" si="0"/>
        <v>0</v>
      </c>
      <c r="G19" s="27"/>
    </row>
    <row r="20" spans="1:7" x14ac:dyDescent="0.25">
      <c r="A20" s="16">
        <v>16</v>
      </c>
      <c r="B20" s="200" t="s">
        <v>219</v>
      </c>
      <c r="C20" s="187">
        <v>104.29</v>
      </c>
      <c r="D20" s="16">
        <v>46</v>
      </c>
      <c r="E20" s="202">
        <v>0</v>
      </c>
      <c r="F20" s="177">
        <f t="shared" si="0"/>
        <v>0</v>
      </c>
      <c r="G20" s="27"/>
    </row>
    <row r="21" spans="1:7" x14ac:dyDescent="0.25">
      <c r="A21" s="16">
        <v>17</v>
      </c>
      <c r="B21" s="200" t="s">
        <v>220</v>
      </c>
      <c r="C21" s="187">
        <v>104.29</v>
      </c>
      <c r="D21" s="16">
        <v>48</v>
      </c>
      <c r="E21" s="202">
        <v>0</v>
      </c>
      <c r="F21" s="177">
        <f t="shared" si="0"/>
        <v>0</v>
      </c>
      <c r="G21" s="27"/>
    </row>
    <row r="22" spans="1:7" x14ac:dyDescent="0.25">
      <c r="A22" s="16"/>
      <c r="B22" s="200" t="s">
        <v>264</v>
      </c>
      <c r="C22" s="188">
        <v>40</v>
      </c>
      <c r="D22" s="16"/>
      <c r="E22" s="202">
        <v>19</v>
      </c>
      <c r="F22" s="177">
        <f t="shared" ref="F22:F23" si="1">C22*E22</f>
        <v>760</v>
      </c>
      <c r="G22" s="27"/>
    </row>
    <row r="23" spans="1:7" x14ac:dyDescent="0.25">
      <c r="A23" s="16"/>
      <c r="B23" s="200" t="s">
        <v>265</v>
      </c>
      <c r="C23" s="188">
        <v>40</v>
      </c>
      <c r="D23" s="16"/>
      <c r="E23" s="202">
        <v>1</v>
      </c>
      <c r="F23" s="177">
        <f t="shared" si="1"/>
        <v>40</v>
      </c>
      <c r="G23" s="27"/>
    </row>
    <row r="24" spans="1:7" x14ac:dyDescent="0.25">
      <c r="A24" s="16"/>
      <c r="B24" s="200" t="s">
        <v>266</v>
      </c>
      <c r="C24" s="188">
        <v>40</v>
      </c>
      <c r="D24" s="16" t="s">
        <v>11</v>
      </c>
      <c r="E24" s="202">
        <v>22</v>
      </c>
      <c r="F24" s="177">
        <f t="shared" si="0"/>
        <v>880</v>
      </c>
      <c r="G24" s="27"/>
    </row>
    <row r="25" spans="1:7" x14ac:dyDescent="0.25">
      <c r="A25" s="16"/>
      <c r="B25" s="203" t="s">
        <v>222</v>
      </c>
      <c r="C25" s="125">
        <v>180.23</v>
      </c>
      <c r="D25" s="16" t="s">
        <v>11</v>
      </c>
      <c r="E25" s="201">
        <v>0</v>
      </c>
      <c r="F25" s="177">
        <f t="shared" si="0"/>
        <v>0</v>
      </c>
      <c r="G25" s="27"/>
    </row>
    <row r="26" spans="1:7" x14ac:dyDescent="0.25">
      <c r="A26" s="16"/>
      <c r="B26" s="203" t="s">
        <v>122</v>
      </c>
      <c r="C26" s="187">
        <v>75</v>
      </c>
      <c r="D26" s="16" t="s">
        <v>11</v>
      </c>
      <c r="E26" s="201">
        <v>64</v>
      </c>
      <c r="F26" s="177">
        <f t="shared" si="0"/>
        <v>4800</v>
      </c>
      <c r="G26" s="27"/>
    </row>
    <row r="27" spans="1:7" x14ac:dyDescent="0.25">
      <c r="A27" s="16"/>
      <c r="B27" s="204" t="s">
        <v>267</v>
      </c>
      <c r="C27" s="113">
        <v>48.25</v>
      </c>
      <c r="D27" s="16" t="s">
        <v>11</v>
      </c>
      <c r="E27" s="205">
        <v>99</v>
      </c>
      <c r="F27" s="177">
        <f t="shared" si="0"/>
        <v>4776.75</v>
      </c>
      <c r="G27" s="27"/>
    </row>
    <row r="28" spans="1:7" x14ac:dyDescent="0.25">
      <c r="A28" s="16"/>
      <c r="B28" s="203" t="s">
        <v>268</v>
      </c>
      <c r="C28" s="190">
        <v>87.97</v>
      </c>
      <c r="D28" s="16" t="s">
        <v>11</v>
      </c>
      <c r="E28" s="202">
        <v>72</v>
      </c>
      <c r="F28" s="177">
        <f t="shared" si="0"/>
        <v>6333.84</v>
      </c>
      <c r="G28" s="27"/>
    </row>
    <row r="29" spans="1:7" x14ac:dyDescent="0.25">
      <c r="A29" s="16"/>
      <c r="B29" s="203" t="s">
        <v>224</v>
      </c>
      <c r="C29" s="113">
        <v>584.20000000000005</v>
      </c>
      <c r="D29" s="16" t="s">
        <v>11</v>
      </c>
      <c r="E29" s="202">
        <v>63</v>
      </c>
      <c r="F29" s="177">
        <f t="shared" si="0"/>
        <v>36804.600000000006</v>
      </c>
      <c r="G29" s="27"/>
    </row>
    <row r="30" spans="1:7" x14ac:dyDescent="0.25">
      <c r="A30" s="16"/>
      <c r="B30" s="203" t="s">
        <v>225</v>
      </c>
      <c r="C30" s="191">
        <v>21</v>
      </c>
      <c r="D30" s="16" t="s">
        <v>11</v>
      </c>
      <c r="E30" s="201">
        <v>38</v>
      </c>
      <c r="F30" s="177">
        <f t="shared" si="0"/>
        <v>798</v>
      </c>
      <c r="G30" s="27"/>
    </row>
    <row r="31" spans="1:7" x14ac:dyDescent="0.25">
      <c r="A31" s="16"/>
      <c r="B31" s="203" t="s">
        <v>226</v>
      </c>
      <c r="C31" s="189">
        <v>39</v>
      </c>
      <c r="D31" s="16" t="s">
        <v>11</v>
      </c>
      <c r="E31" s="201">
        <v>182</v>
      </c>
      <c r="F31" s="177">
        <f t="shared" si="0"/>
        <v>7098</v>
      </c>
      <c r="G31" s="27"/>
    </row>
    <row r="32" spans="1:7" x14ac:dyDescent="0.25">
      <c r="A32" s="16"/>
      <c r="B32" s="398" t="s">
        <v>89</v>
      </c>
      <c r="C32" s="400"/>
      <c r="D32" s="16"/>
      <c r="E32" s="399">
        <v>46</v>
      </c>
      <c r="F32" s="177"/>
      <c r="G32" s="27"/>
    </row>
    <row r="33" spans="1:7" x14ac:dyDescent="0.25">
      <c r="A33" s="16"/>
      <c r="B33" s="203" t="s">
        <v>228</v>
      </c>
      <c r="C33" s="190">
        <v>28.94</v>
      </c>
      <c r="D33" s="16" t="s">
        <v>11</v>
      </c>
      <c r="E33" s="206">
        <v>59</v>
      </c>
      <c r="F33" s="177">
        <f t="shared" si="0"/>
        <v>1707.46</v>
      </c>
      <c r="G33" s="27"/>
    </row>
    <row r="34" spans="1:7" x14ac:dyDescent="0.25">
      <c r="A34" s="16"/>
      <c r="B34" s="227" t="s">
        <v>48</v>
      </c>
      <c r="C34" s="187">
        <v>8.6300000000000008</v>
      </c>
      <c r="D34" s="16" t="s">
        <v>11</v>
      </c>
      <c r="E34" s="207">
        <v>88</v>
      </c>
      <c r="F34" s="177">
        <f t="shared" si="0"/>
        <v>759.44</v>
      </c>
      <c r="G34" s="27"/>
    </row>
    <row r="35" spans="1:7" x14ac:dyDescent="0.25">
      <c r="A35" s="16"/>
      <c r="B35" s="132" t="s">
        <v>269</v>
      </c>
      <c r="C35" s="208"/>
      <c r="D35" s="16" t="s">
        <v>11</v>
      </c>
      <c r="E35" s="207">
        <v>0</v>
      </c>
      <c r="F35" s="177">
        <f t="shared" si="0"/>
        <v>0</v>
      </c>
      <c r="G35" s="27"/>
    </row>
    <row r="36" spans="1:7" x14ac:dyDescent="0.25">
      <c r="A36" s="16"/>
      <c r="B36" s="230" t="s">
        <v>230</v>
      </c>
      <c r="C36" s="191">
        <v>267.69</v>
      </c>
      <c r="D36" s="16" t="s">
        <v>11</v>
      </c>
      <c r="E36" s="207">
        <v>0</v>
      </c>
      <c r="F36" s="177">
        <f t="shared" si="0"/>
        <v>0</v>
      </c>
      <c r="G36" s="27"/>
    </row>
    <row r="37" spans="1:7" x14ac:dyDescent="0.25">
      <c r="A37" s="16"/>
      <c r="B37" s="209" t="s">
        <v>91</v>
      </c>
      <c r="C37" s="189">
        <v>36.42</v>
      </c>
      <c r="D37" s="16" t="s">
        <v>11</v>
      </c>
      <c r="E37" s="207">
        <v>0</v>
      </c>
      <c r="F37" s="177">
        <f t="shared" si="0"/>
        <v>0</v>
      </c>
      <c r="G37" s="27"/>
    </row>
    <row r="38" spans="1:7" x14ac:dyDescent="0.25">
      <c r="A38" s="16"/>
      <c r="B38" s="232" t="s">
        <v>270</v>
      </c>
      <c r="C38" s="190">
        <v>30.66</v>
      </c>
      <c r="D38" s="18"/>
      <c r="E38" s="199">
        <v>76</v>
      </c>
      <c r="F38" s="177">
        <f t="shared" si="0"/>
        <v>2330.16</v>
      </c>
      <c r="G38" s="27"/>
    </row>
    <row r="39" spans="1:7" x14ac:dyDescent="0.25">
      <c r="A39" s="16"/>
      <c r="B39" s="232" t="s">
        <v>271</v>
      </c>
      <c r="C39" s="190">
        <v>30.66</v>
      </c>
      <c r="D39" s="18"/>
      <c r="E39" s="210">
        <v>0</v>
      </c>
      <c r="F39" s="177">
        <f t="shared" ref="F39:F41" si="2">C39*E39</f>
        <v>0</v>
      </c>
      <c r="G39" s="27"/>
    </row>
    <row r="40" spans="1:7" x14ac:dyDescent="0.25">
      <c r="A40" s="16"/>
      <c r="B40" s="232" t="s">
        <v>272</v>
      </c>
      <c r="C40" s="190">
        <v>30.66</v>
      </c>
      <c r="D40" s="18"/>
      <c r="E40" s="210">
        <v>10</v>
      </c>
      <c r="F40" s="177">
        <f t="shared" si="2"/>
        <v>306.60000000000002</v>
      </c>
      <c r="G40" s="27"/>
    </row>
    <row r="41" spans="1:7" x14ac:dyDescent="0.25">
      <c r="A41" s="16"/>
      <c r="B41" s="232" t="s">
        <v>273</v>
      </c>
      <c r="C41" s="190">
        <v>30.66</v>
      </c>
      <c r="D41" s="18"/>
      <c r="E41" s="199">
        <v>15</v>
      </c>
      <c r="F41" s="177">
        <f t="shared" si="2"/>
        <v>459.9</v>
      </c>
      <c r="G41" s="27"/>
    </row>
    <row r="42" spans="1:7" x14ac:dyDescent="0.25">
      <c r="A42" s="16"/>
      <c r="B42" s="203" t="s">
        <v>366</v>
      </c>
      <c r="C42" s="229">
        <v>38</v>
      </c>
      <c r="D42" s="16" t="s">
        <v>11</v>
      </c>
      <c r="E42" s="210">
        <v>13</v>
      </c>
      <c r="F42" s="177">
        <f t="shared" si="0"/>
        <v>494</v>
      </c>
      <c r="G42" s="27"/>
    </row>
    <row r="43" spans="1:7" x14ac:dyDescent="0.25">
      <c r="A43" s="16"/>
      <c r="B43" s="203" t="s">
        <v>367</v>
      </c>
      <c r="C43" s="229">
        <v>38</v>
      </c>
      <c r="D43" s="137"/>
      <c r="E43" s="202">
        <v>8</v>
      </c>
      <c r="F43" s="177">
        <f t="shared" si="0"/>
        <v>304</v>
      </c>
      <c r="G43" s="27"/>
    </row>
    <row r="44" spans="1:7" x14ac:dyDescent="0.25">
      <c r="A44" s="16"/>
      <c r="B44" s="203" t="s">
        <v>368</v>
      </c>
      <c r="C44" s="229">
        <v>38</v>
      </c>
      <c r="D44" s="137"/>
      <c r="E44" s="202">
        <v>21</v>
      </c>
      <c r="F44" s="177">
        <f t="shared" si="0"/>
        <v>798</v>
      </c>
      <c r="G44" s="27"/>
    </row>
    <row r="45" spans="1:7" x14ac:dyDescent="0.25">
      <c r="A45" s="16"/>
      <c r="B45" s="200" t="s">
        <v>274</v>
      </c>
      <c r="C45" s="124">
        <v>36.31</v>
      </c>
      <c r="D45" s="137" t="s">
        <v>11</v>
      </c>
      <c r="E45" s="201">
        <v>0</v>
      </c>
      <c r="F45" s="177">
        <f t="shared" si="0"/>
        <v>0</v>
      </c>
      <c r="G45" s="27"/>
    </row>
    <row r="46" spans="1:7" x14ac:dyDescent="0.25">
      <c r="A46" s="16"/>
      <c r="B46" s="200" t="s">
        <v>275</v>
      </c>
      <c r="C46" s="211"/>
      <c r="D46" s="16" t="s">
        <v>11</v>
      </c>
      <c r="E46" s="202">
        <v>0</v>
      </c>
      <c r="F46" s="177">
        <f t="shared" si="0"/>
        <v>0</v>
      </c>
      <c r="G46" s="27"/>
    </row>
    <row r="47" spans="1:7" x14ac:dyDescent="0.25">
      <c r="A47" s="16"/>
      <c r="B47" s="200" t="s">
        <v>235</v>
      </c>
      <c r="C47" s="124">
        <v>62.14</v>
      </c>
      <c r="D47" s="16" t="s">
        <v>11</v>
      </c>
      <c r="E47" s="206">
        <v>0</v>
      </c>
      <c r="F47" s="177">
        <f t="shared" si="0"/>
        <v>0</v>
      </c>
      <c r="G47" s="27"/>
    </row>
    <row r="48" spans="1:7" x14ac:dyDescent="0.25">
      <c r="A48" s="16"/>
      <c r="B48" s="200" t="s">
        <v>236</v>
      </c>
      <c r="C48" s="212">
        <v>4</v>
      </c>
      <c r="D48" s="16" t="s">
        <v>11</v>
      </c>
      <c r="E48" s="206">
        <v>53</v>
      </c>
      <c r="F48" s="177">
        <f t="shared" si="0"/>
        <v>212</v>
      </c>
      <c r="G48" s="27"/>
    </row>
    <row r="49" spans="1:7" x14ac:dyDescent="0.25">
      <c r="A49" s="16"/>
      <c r="B49" s="200" t="s">
        <v>64</v>
      </c>
      <c r="C49" s="189">
        <v>4.8499999999999996</v>
      </c>
      <c r="D49" s="16" t="s">
        <v>11</v>
      </c>
      <c r="E49" s="213">
        <v>51</v>
      </c>
      <c r="F49" s="177">
        <f t="shared" si="0"/>
        <v>247.35</v>
      </c>
      <c r="G49" s="27"/>
    </row>
    <row r="50" spans="1:7" x14ac:dyDescent="0.25">
      <c r="A50" s="16"/>
      <c r="B50" s="214" t="s">
        <v>237</v>
      </c>
      <c r="C50" s="215">
        <v>8.08</v>
      </c>
      <c r="D50" s="16" t="s">
        <v>11</v>
      </c>
      <c r="E50" s="216">
        <v>0</v>
      </c>
      <c r="F50" s="177">
        <f t="shared" si="0"/>
        <v>0</v>
      </c>
      <c r="G50" s="27"/>
    </row>
    <row r="51" spans="1:7" x14ac:dyDescent="0.25">
      <c r="A51" s="16"/>
      <c r="B51" s="217" t="s">
        <v>238</v>
      </c>
      <c r="C51" s="189">
        <v>9</v>
      </c>
      <c r="D51" s="16" t="s">
        <v>11</v>
      </c>
      <c r="E51" s="218">
        <v>0</v>
      </c>
      <c r="F51" s="177">
        <f t="shared" si="0"/>
        <v>0</v>
      </c>
      <c r="G51" s="192"/>
    </row>
    <row r="52" spans="1:7" x14ac:dyDescent="0.25">
      <c r="A52" s="16"/>
      <c r="B52" s="217" t="s">
        <v>369</v>
      </c>
      <c r="C52" s="189">
        <v>14.83</v>
      </c>
      <c r="D52" s="16">
        <v>35</v>
      </c>
      <c r="E52" s="218">
        <v>10</v>
      </c>
      <c r="F52" s="177">
        <f t="shared" si="0"/>
        <v>148.30000000000001</v>
      </c>
      <c r="G52" s="192"/>
    </row>
    <row r="53" spans="1:7" x14ac:dyDescent="0.25">
      <c r="A53" s="16"/>
      <c r="B53" s="217" t="s">
        <v>369</v>
      </c>
      <c r="C53" s="189">
        <v>14.83</v>
      </c>
      <c r="D53" s="16">
        <v>36</v>
      </c>
      <c r="E53" s="218">
        <v>8</v>
      </c>
      <c r="F53" s="177">
        <f t="shared" si="0"/>
        <v>118.64</v>
      </c>
      <c r="G53" s="192"/>
    </row>
    <row r="54" spans="1:7" x14ac:dyDescent="0.25">
      <c r="A54" s="16"/>
      <c r="B54" s="217" t="s">
        <v>369</v>
      </c>
      <c r="C54" s="519">
        <v>14.83</v>
      </c>
      <c r="D54" s="369">
        <v>37</v>
      </c>
      <c r="E54" s="218">
        <v>2</v>
      </c>
      <c r="F54" s="177">
        <f t="shared" si="0"/>
        <v>29.66</v>
      </c>
      <c r="G54" s="192"/>
    </row>
    <row r="55" spans="1:7" x14ac:dyDescent="0.25">
      <c r="A55" s="16"/>
      <c r="B55" s="132" t="s">
        <v>369</v>
      </c>
      <c r="C55" s="173">
        <v>14.83</v>
      </c>
      <c r="D55" s="16">
        <v>38</v>
      </c>
      <c r="E55" s="218">
        <v>0</v>
      </c>
      <c r="F55" s="177">
        <f t="shared" si="0"/>
        <v>0</v>
      </c>
      <c r="G55" s="192"/>
    </row>
    <row r="56" spans="1:7" x14ac:dyDescent="0.25">
      <c r="A56" s="16"/>
      <c r="B56" s="132" t="s">
        <v>369</v>
      </c>
      <c r="C56" s="173">
        <v>14.83</v>
      </c>
      <c r="D56" s="16">
        <v>39</v>
      </c>
      <c r="E56" s="218">
        <v>0</v>
      </c>
      <c r="F56" s="177">
        <f t="shared" si="0"/>
        <v>0</v>
      </c>
      <c r="G56" s="192"/>
    </row>
    <row r="57" spans="1:7" x14ac:dyDescent="0.25">
      <c r="A57" s="16"/>
      <c r="B57" s="132" t="s">
        <v>369</v>
      </c>
      <c r="C57" s="173">
        <v>14.83</v>
      </c>
      <c r="D57" s="16">
        <v>40</v>
      </c>
      <c r="E57" s="218">
        <v>0</v>
      </c>
      <c r="F57" s="177">
        <f t="shared" si="0"/>
        <v>0</v>
      </c>
      <c r="G57" s="192"/>
    </row>
    <row r="58" spans="1:7" x14ac:dyDescent="0.25">
      <c r="A58" s="16"/>
      <c r="B58" s="132" t="s">
        <v>369</v>
      </c>
      <c r="C58" s="173">
        <v>14.83</v>
      </c>
      <c r="D58" s="16">
        <v>41</v>
      </c>
      <c r="E58" s="218">
        <v>0</v>
      </c>
      <c r="F58" s="177">
        <f t="shared" si="0"/>
        <v>0</v>
      </c>
      <c r="G58" s="192"/>
    </row>
    <row r="59" spans="1:7" x14ac:dyDescent="0.25">
      <c r="A59" s="16"/>
      <c r="B59" s="132" t="s">
        <v>369</v>
      </c>
      <c r="C59" s="173">
        <v>14.83</v>
      </c>
      <c r="D59" s="16">
        <v>42</v>
      </c>
      <c r="E59" s="218">
        <v>0</v>
      </c>
      <c r="F59" s="177">
        <f t="shared" si="0"/>
        <v>0</v>
      </c>
      <c r="G59" s="192"/>
    </row>
    <row r="60" spans="1:7" x14ac:dyDescent="0.25">
      <c r="A60" s="16"/>
      <c r="B60" s="132" t="s">
        <v>369</v>
      </c>
      <c r="C60" s="173">
        <v>14.83</v>
      </c>
      <c r="D60" s="16">
        <v>43</v>
      </c>
      <c r="E60" s="218">
        <v>0</v>
      </c>
      <c r="F60" s="177">
        <f t="shared" si="0"/>
        <v>0</v>
      </c>
      <c r="G60" s="192"/>
    </row>
    <row r="61" spans="1:7" x14ac:dyDescent="0.25">
      <c r="A61" s="16"/>
      <c r="B61" s="132" t="s">
        <v>369</v>
      </c>
      <c r="C61" s="173">
        <v>14.83</v>
      </c>
      <c r="D61" s="16">
        <v>44</v>
      </c>
      <c r="E61" s="218">
        <v>0</v>
      </c>
      <c r="F61" s="177">
        <f t="shared" si="0"/>
        <v>0</v>
      </c>
      <c r="G61" s="192"/>
    </row>
    <row r="62" spans="1:7" x14ac:dyDescent="0.25">
      <c r="A62" s="16"/>
      <c r="B62" s="520" t="s">
        <v>369</v>
      </c>
      <c r="C62" s="173">
        <v>14.83</v>
      </c>
      <c r="D62" s="16">
        <v>45</v>
      </c>
      <c r="E62" s="218">
        <v>3</v>
      </c>
      <c r="F62" s="177">
        <f t="shared" si="0"/>
        <v>44.49</v>
      </c>
      <c r="G62" s="192"/>
    </row>
    <row r="63" spans="1:7" x14ac:dyDescent="0.25">
      <c r="A63" s="16"/>
      <c r="B63" s="132" t="s">
        <v>144</v>
      </c>
      <c r="C63" s="81">
        <v>41.39</v>
      </c>
      <c r="D63" s="16" t="s">
        <v>11</v>
      </c>
      <c r="E63" s="218">
        <v>18</v>
      </c>
      <c r="F63" s="177">
        <f t="shared" si="0"/>
        <v>745.02</v>
      </c>
      <c r="G63" s="27"/>
    </row>
    <row r="64" spans="1:7" x14ac:dyDescent="0.25">
      <c r="A64" s="16"/>
      <c r="B64" s="133" t="s">
        <v>251</v>
      </c>
      <c r="C64" s="173">
        <v>148.03</v>
      </c>
      <c r="D64" s="16" t="s">
        <v>11</v>
      </c>
      <c r="E64" s="218">
        <v>0</v>
      </c>
      <c r="F64" s="177">
        <f t="shared" si="0"/>
        <v>0</v>
      </c>
      <c r="G64" s="27"/>
    </row>
    <row r="65" spans="1:8" x14ac:dyDescent="0.25">
      <c r="A65" s="16"/>
      <c r="B65" s="132" t="s">
        <v>276</v>
      </c>
      <c r="C65" s="81">
        <v>15.19</v>
      </c>
      <c r="D65" s="16" t="s">
        <v>11</v>
      </c>
      <c r="E65" s="220">
        <v>0</v>
      </c>
      <c r="F65" s="177">
        <f t="shared" si="0"/>
        <v>0</v>
      </c>
      <c r="G65" s="27"/>
    </row>
    <row r="66" spans="1:8" x14ac:dyDescent="0.25">
      <c r="A66" s="16"/>
      <c r="B66" s="295" t="s">
        <v>277</v>
      </c>
      <c r="C66" s="173">
        <v>24.55</v>
      </c>
      <c r="D66" s="16"/>
      <c r="E66" s="220">
        <v>79</v>
      </c>
      <c r="F66" s="177">
        <f t="shared" si="0"/>
        <v>1939.45</v>
      </c>
      <c r="G66" s="27"/>
    </row>
    <row r="67" spans="1:8" x14ac:dyDescent="0.25">
      <c r="A67" s="16"/>
      <c r="B67" s="133" t="s">
        <v>69</v>
      </c>
      <c r="C67" s="81">
        <v>890.46</v>
      </c>
      <c r="D67" s="16" t="s">
        <v>11</v>
      </c>
      <c r="E67" s="218">
        <v>65</v>
      </c>
      <c r="F67" s="177">
        <f t="shared" si="0"/>
        <v>57879.9</v>
      </c>
      <c r="G67" s="27"/>
    </row>
    <row r="68" spans="1:8" x14ac:dyDescent="0.25">
      <c r="A68" s="16"/>
      <c r="B68" s="221" t="s">
        <v>253</v>
      </c>
      <c r="C68" s="193">
        <v>355</v>
      </c>
      <c r="D68" s="16" t="s">
        <v>11</v>
      </c>
      <c r="E68" s="218">
        <v>42</v>
      </c>
      <c r="F68" s="177">
        <f t="shared" si="0"/>
        <v>14910</v>
      </c>
      <c r="G68" s="27"/>
    </row>
    <row r="69" spans="1:8" x14ac:dyDescent="0.25">
      <c r="A69" s="16"/>
      <c r="B69" s="222" t="s">
        <v>278</v>
      </c>
      <c r="C69" s="81">
        <v>280.39</v>
      </c>
      <c r="D69" s="137" t="s">
        <v>11</v>
      </c>
      <c r="E69" s="223">
        <v>0</v>
      </c>
      <c r="F69" s="194">
        <f t="shared" si="0"/>
        <v>0</v>
      </c>
      <c r="G69" s="192"/>
    </row>
    <row r="70" spans="1:8" x14ac:dyDescent="0.25">
      <c r="A70" s="16"/>
      <c r="B70" s="239" t="s">
        <v>370</v>
      </c>
      <c r="C70" s="523">
        <v>15.3</v>
      </c>
      <c r="D70" s="17"/>
      <c r="E70" s="524">
        <v>29</v>
      </c>
      <c r="F70" s="521"/>
      <c r="G70" s="522"/>
    </row>
    <row r="71" spans="1:8" x14ac:dyDescent="0.25">
      <c r="A71" s="16"/>
      <c r="B71" s="224" t="s">
        <v>256</v>
      </c>
      <c r="C71" s="124">
        <v>385</v>
      </c>
      <c r="D71" s="137" t="s">
        <v>11</v>
      </c>
      <c r="E71" s="216">
        <v>0</v>
      </c>
      <c r="F71" s="195">
        <f t="shared" si="0"/>
        <v>0</v>
      </c>
      <c r="G71" s="225"/>
    </row>
    <row r="72" spans="1:8" x14ac:dyDescent="0.25">
      <c r="A72" s="16"/>
      <c r="B72" s="133" t="s">
        <v>73</v>
      </c>
      <c r="C72" s="124">
        <v>311.64999999999998</v>
      </c>
      <c r="D72" s="137" t="s">
        <v>11</v>
      </c>
      <c r="E72" s="401">
        <v>41</v>
      </c>
      <c r="F72" s="195">
        <f t="shared" si="0"/>
        <v>12777.65</v>
      </c>
      <c r="G72" s="225"/>
    </row>
    <row r="73" spans="1:8" x14ac:dyDescent="0.25">
      <c r="A73" s="196"/>
      <c r="B73" s="196"/>
      <c r="C73" s="226"/>
      <c r="D73" s="101"/>
      <c r="E73" s="101"/>
      <c r="F73" s="172">
        <f>SUM(F5:F72)</f>
        <v>169006.38000000003</v>
      </c>
      <c r="G73" s="111"/>
      <c r="H73" s="104"/>
    </row>
    <row r="74" spans="1:8" x14ac:dyDescent="0.25">
      <c r="A74" s="158"/>
      <c r="B74" s="159"/>
      <c r="C74" s="160"/>
      <c r="D74" s="161"/>
      <c r="E74" s="162"/>
      <c r="F74" s="163"/>
      <c r="G74" s="164"/>
      <c r="H74" s="104"/>
    </row>
    <row r="75" spans="1:8" x14ac:dyDescent="0.25">
      <c r="A75" s="486" t="s">
        <v>279</v>
      </c>
      <c r="B75" s="486"/>
      <c r="C75" s="486"/>
      <c r="D75" s="486"/>
      <c r="E75" s="486"/>
      <c r="F75" s="486"/>
      <c r="G75" s="487"/>
      <c r="H75" s="104"/>
    </row>
    <row r="76" spans="1:8" x14ac:dyDescent="0.25">
      <c r="A76" s="120" t="s">
        <v>3</v>
      </c>
      <c r="B76" s="120" t="s">
        <v>4</v>
      </c>
      <c r="C76" s="120" t="s">
        <v>5</v>
      </c>
      <c r="D76" s="118" t="s">
        <v>6</v>
      </c>
      <c r="E76" s="118" t="s">
        <v>7</v>
      </c>
      <c r="F76" s="118" t="s">
        <v>8</v>
      </c>
      <c r="G76" s="118" t="s">
        <v>9</v>
      </c>
      <c r="H76" s="104"/>
    </row>
    <row r="77" spans="1:8" x14ac:dyDescent="0.25">
      <c r="A77" s="499" t="s">
        <v>75</v>
      </c>
      <c r="B77" s="500"/>
      <c r="C77" s="500"/>
      <c r="D77" s="500"/>
      <c r="E77" s="500"/>
      <c r="F77" s="500"/>
      <c r="G77" s="501"/>
    </row>
    <row r="78" spans="1:8" ht="15.75" customHeight="1" x14ac:dyDescent="0.25">
      <c r="A78" s="106">
        <v>1</v>
      </c>
      <c r="B78" s="151" t="s">
        <v>258</v>
      </c>
      <c r="C78" s="134">
        <v>44</v>
      </c>
      <c r="D78" s="5" t="s">
        <v>11</v>
      </c>
      <c r="E78" s="171">
        <v>0</v>
      </c>
      <c r="F78" s="182">
        <f>C78*E78</f>
        <v>0</v>
      </c>
      <c r="G78" s="6"/>
    </row>
    <row r="79" spans="1:8" ht="15.75" customHeight="1" x14ac:dyDescent="0.25">
      <c r="A79" s="106">
        <v>2</v>
      </c>
      <c r="B79" s="151" t="s">
        <v>259</v>
      </c>
      <c r="C79" s="134">
        <v>65</v>
      </c>
      <c r="D79" s="5" t="s">
        <v>11</v>
      </c>
      <c r="E79" s="171">
        <v>0</v>
      </c>
      <c r="F79" s="182">
        <f t="shared" ref="F79:F81" si="3">C79*E79</f>
        <v>0</v>
      </c>
      <c r="G79" s="6"/>
    </row>
    <row r="80" spans="1:8" ht="15.75" customHeight="1" x14ac:dyDescent="0.25">
      <c r="A80" s="106">
        <v>3</v>
      </c>
      <c r="B80" s="151" t="s">
        <v>260</v>
      </c>
      <c r="C80" s="134">
        <v>98.7</v>
      </c>
      <c r="D80" s="5" t="s">
        <v>11</v>
      </c>
      <c r="E80" s="171">
        <v>0</v>
      </c>
      <c r="F80" s="182">
        <f t="shared" si="3"/>
        <v>0</v>
      </c>
      <c r="G80" s="6"/>
    </row>
    <row r="81" spans="1:7" ht="15.75" customHeight="1" x14ac:dyDescent="0.25">
      <c r="A81" s="106">
        <v>4</v>
      </c>
      <c r="B81" s="151" t="s">
        <v>261</v>
      </c>
      <c r="C81" s="134">
        <v>143.56</v>
      </c>
      <c r="D81" s="5" t="s">
        <v>11</v>
      </c>
      <c r="E81" s="171">
        <v>0</v>
      </c>
      <c r="F81" s="182">
        <f t="shared" si="3"/>
        <v>0</v>
      </c>
      <c r="G81" s="6"/>
    </row>
    <row r="82" spans="1:7" ht="15.75" customHeight="1" x14ac:dyDescent="0.25">
      <c r="A82" s="489" t="s">
        <v>163</v>
      </c>
      <c r="B82" s="489"/>
      <c r="C82" s="489"/>
      <c r="D82" s="489"/>
      <c r="E82" s="489"/>
      <c r="F82" s="489"/>
      <c r="G82" s="489"/>
    </row>
    <row r="83" spans="1:7" ht="15.75" customHeight="1" x14ac:dyDescent="0.25">
      <c r="A83" s="106">
        <v>1</v>
      </c>
      <c r="B83" s="151" t="s">
        <v>258</v>
      </c>
      <c r="C83" s="134">
        <v>44</v>
      </c>
      <c r="D83" s="5" t="s">
        <v>11</v>
      </c>
      <c r="E83" s="171">
        <v>15</v>
      </c>
      <c r="F83" s="186">
        <f>C83*E83</f>
        <v>660</v>
      </c>
      <c r="G83" s="6"/>
    </row>
    <row r="84" spans="1:7" ht="15.75" customHeight="1" x14ac:dyDescent="0.25">
      <c r="A84" s="106">
        <v>2</v>
      </c>
      <c r="B84" s="151" t="s">
        <v>259</v>
      </c>
      <c r="C84" s="134">
        <v>65</v>
      </c>
      <c r="D84" s="5" t="s">
        <v>11</v>
      </c>
      <c r="E84" s="171">
        <v>20</v>
      </c>
      <c r="F84" s="186">
        <f t="shared" ref="F84:F86" si="4">C84*E84</f>
        <v>1300</v>
      </c>
      <c r="G84" s="6"/>
    </row>
    <row r="85" spans="1:7" ht="15.75" customHeight="1" x14ac:dyDescent="0.25">
      <c r="A85" s="106">
        <v>3</v>
      </c>
      <c r="B85" s="151" t="s">
        <v>260</v>
      </c>
      <c r="C85" s="134">
        <v>98.7</v>
      </c>
      <c r="D85" s="5" t="s">
        <v>11</v>
      </c>
      <c r="E85" s="171">
        <v>55</v>
      </c>
      <c r="F85" s="186">
        <f t="shared" si="4"/>
        <v>5428.5</v>
      </c>
      <c r="G85" s="6"/>
    </row>
    <row r="86" spans="1:7" ht="15.75" customHeight="1" x14ac:dyDescent="0.25">
      <c r="A86" s="106">
        <v>4</v>
      </c>
      <c r="B86" s="151" t="s">
        <v>261</v>
      </c>
      <c r="C86" s="134">
        <v>143.56</v>
      </c>
      <c r="D86" s="5" t="s">
        <v>11</v>
      </c>
      <c r="E86" s="171">
        <v>0</v>
      </c>
      <c r="F86" s="186">
        <f t="shared" si="4"/>
        <v>0</v>
      </c>
      <c r="G86" s="6"/>
    </row>
    <row r="87" spans="1:7" ht="15.75" customHeight="1" x14ac:dyDescent="0.25">
      <c r="A87" s="99"/>
      <c r="B87" s="99"/>
      <c r="C87" s="100"/>
      <c r="D87" s="101"/>
      <c r="E87" s="102"/>
      <c r="F87" s="172" cm="1">
        <f t="array" ref="F87">SUM(F78:F81+F83:F86)</f>
        <v>7388.5</v>
      </c>
      <c r="G87" s="90"/>
    </row>
  </sheetData>
  <autoFilter ref="A4:G73" xr:uid="{EB29F706-6D1B-40AB-BEB6-1B52DD45A18C}">
    <sortState xmlns:xlrd2="http://schemas.microsoft.com/office/spreadsheetml/2017/richdata2" ref="A5:G73">
      <sortCondition ref="B4"/>
    </sortState>
  </autoFilter>
  <mergeCells count="6">
    <mergeCell ref="A1:G1"/>
    <mergeCell ref="A2:G2"/>
    <mergeCell ref="A3:G3"/>
    <mergeCell ref="A77:G77"/>
    <mergeCell ref="A82:G82"/>
    <mergeCell ref="A75:G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AF55-A8BF-4000-A35D-78DA3AB89B74}">
  <sheetPr>
    <tabColor rgb="FFFFFF00"/>
  </sheetPr>
  <dimension ref="A1:H73"/>
  <sheetViews>
    <sheetView zoomScaleNormal="100" workbookViewId="0">
      <selection activeCell="B9" sqref="B9"/>
    </sheetView>
  </sheetViews>
  <sheetFormatPr defaultRowHeight="15" x14ac:dyDescent="0.25"/>
  <cols>
    <col min="2" max="2" width="58.140625" customWidth="1"/>
    <col min="3" max="3" width="14.85546875" style="1" customWidth="1"/>
    <col min="4" max="4" width="14" style="30" customWidth="1"/>
    <col min="5" max="6" width="12.7109375" style="30" customWidth="1"/>
    <col min="7" max="7" width="14.140625" customWidth="1"/>
    <col min="8" max="8" width="9.85546875" bestFit="1" customWidth="1"/>
  </cols>
  <sheetData>
    <row r="1" spans="1:7" ht="18" customHeight="1" x14ac:dyDescent="0.25">
      <c r="A1" s="447" t="s">
        <v>280</v>
      </c>
      <c r="B1" s="447"/>
      <c r="C1" s="447"/>
      <c r="D1" s="447"/>
      <c r="E1" s="447"/>
      <c r="F1" s="447"/>
      <c r="G1" s="447"/>
    </row>
    <row r="2" spans="1:7" ht="18" customHeight="1" x14ac:dyDescent="0.25">
      <c r="A2" s="447" t="s">
        <v>281</v>
      </c>
      <c r="B2" s="447"/>
      <c r="C2" s="447"/>
      <c r="D2" s="447"/>
      <c r="E2" s="447"/>
      <c r="F2" s="447"/>
      <c r="G2" s="447"/>
    </row>
    <row r="3" spans="1:7" ht="18" customHeight="1" x14ac:dyDescent="0.25">
      <c r="A3" s="502" t="s">
        <v>282</v>
      </c>
      <c r="B3" s="447"/>
      <c r="C3" s="492"/>
      <c r="D3" s="492"/>
      <c r="E3" s="492"/>
      <c r="F3" s="492"/>
      <c r="G3" s="492"/>
    </row>
    <row r="4" spans="1:7" x14ac:dyDescent="0.25">
      <c r="A4" s="28" t="s">
        <v>3</v>
      </c>
      <c r="B4" s="75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x14ac:dyDescent="0.25">
      <c r="A5" s="296">
        <v>1</v>
      </c>
      <c r="B5" s="297" t="s">
        <v>283</v>
      </c>
      <c r="C5" s="298"/>
      <c r="D5" s="5" t="s">
        <v>11</v>
      </c>
      <c r="E5" s="299">
        <v>0</v>
      </c>
      <c r="F5" s="178">
        <f t="shared" ref="F5:F56" si="0">C5*E5</f>
        <v>0</v>
      </c>
      <c r="G5" s="6"/>
    </row>
    <row r="6" spans="1:7" x14ac:dyDescent="0.25">
      <c r="A6" s="296">
        <v>2</v>
      </c>
      <c r="B6" s="300" t="s">
        <v>10</v>
      </c>
      <c r="C6" s="281">
        <v>126.1</v>
      </c>
      <c r="D6" s="5" t="s">
        <v>11</v>
      </c>
      <c r="E6" s="299">
        <v>107</v>
      </c>
      <c r="F6" s="178">
        <f t="shared" si="0"/>
        <v>13492.699999999999</v>
      </c>
      <c r="G6" s="6"/>
    </row>
    <row r="7" spans="1:7" x14ac:dyDescent="0.25">
      <c r="A7" s="296">
        <v>3</v>
      </c>
      <c r="B7" s="231" t="s">
        <v>201</v>
      </c>
      <c r="C7" s="282">
        <v>69.900000000000006</v>
      </c>
      <c r="D7" s="301">
        <v>38</v>
      </c>
      <c r="E7" s="299">
        <v>0</v>
      </c>
      <c r="F7" s="178">
        <f t="shared" si="0"/>
        <v>0</v>
      </c>
      <c r="G7" s="6"/>
    </row>
    <row r="8" spans="1:7" x14ac:dyDescent="0.25">
      <c r="A8" s="296">
        <v>4</v>
      </c>
      <c r="B8" s="231" t="s">
        <v>202</v>
      </c>
      <c r="C8" s="282"/>
      <c r="D8" s="301">
        <v>39</v>
      </c>
      <c r="E8" s="299">
        <v>0</v>
      </c>
      <c r="F8" s="178"/>
      <c r="G8" s="6"/>
    </row>
    <row r="9" spans="1:7" x14ac:dyDescent="0.25">
      <c r="A9" s="296">
        <v>5</v>
      </c>
      <c r="B9" s="231" t="s">
        <v>203</v>
      </c>
      <c r="C9" s="282"/>
      <c r="D9" s="301">
        <v>40</v>
      </c>
      <c r="E9" s="299">
        <v>0</v>
      </c>
      <c r="F9" s="178"/>
      <c r="G9" s="6"/>
    </row>
    <row r="10" spans="1:7" x14ac:dyDescent="0.25">
      <c r="A10" s="296">
        <v>6</v>
      </c>
      <c r="B10" s="231" t="s">
        <v>204</v>
      </c>
      <c r="C10" s="282"/>
      <c r="D10" s="301">
        <v>41</v>
      </c>
      <c r="E10" s="299">
        <v>0</v>
      </c>
      <c r="F10" s="178"/>
      <c r="G10" s="6"/>
    </row>
    <row r="11" spans="1:7" x14ac:dyDescent="0.25">
      <c r="A11" s="296">
        <v>7</v>
      </c>
      <c r="B11" s="231" t="s">
        <v>205</v>
      </c>
      <c r="C11" s="282"/>
      <c r="D11" s="301">
        <v>42</v>
      </c>
      <c r="E11" s="299">
        <v>0</v>
      </c>
      <c r="F11" s="178"/>
      <c r="G11" s="6"/>
    </row>
    <row r="12" spans="1:7" x14ac:dyDescent="0.25">
      <c r="A12" s="296">
        <v>8</v>
      </c>
      <c r="B12" s="300" t="s">
        <v>206</v>
      </c>
      <c r="C12" s="281">
        <v>104.29</v>
      </c>
      <c r="D12" s="21">
        <v>33</v>
      </c>
      <c r="E12" s="299">
        <v>0</v>
      </c>
      <c r="F12" s="178">
        <f t="shared" si="0"/>
        <v>0</v>
      </c>
      <c r="G12" s="6"/>
    </row>
    <row r="13" spans="1:7" x14ac:dyDescent="0.25">
      <c r="A13" s="296">
        <v>9</v>
      </c>
      <c r="B13" s="300" t="s">
        <v>207</v>
      </c>
      <c r="C13" s="281">
        <v>104.29</v>
      </c>
      <c r="D13" s="21">
        <v>34</v>
      </c>
      <c r="E13" s="299">
        <v>1</v>
      </c>
      <c r="F13" s="178">
        <f t="shared" si="0"/>
        <v>104.29</v>
      </c>
      <c r="G13" s="6"/>
    </row>
    <row r="14" spans="1:7" x14ac:dyDescent="0.25">
      <c r="A14" s="296">
        <v>10</v>
      </c>
      <c r="B14" s="300" t="s">
        <v>208</v>
      </c>
      <c r="C14" s="281">
        <v>104.29</v>
      </c>
      <c r="D14" s="21">
        <v>35</v>
      </c>
      <c r="E14" s="299">
        <v>0</v>
      </c>
      <c r="F14" s="178">
        <f t="shared" si="0"/>
        <v>0</v>
      </c>
      <c r="G14" s="6"/>
    </row>
    <row r="15" spans="1:7" x14ac:dyDescent="0.25">
      <c r="A15" s="296">
        <v>11</v>
      </c>
      <c r="B15" s="300" t="s">
        <v>209</v>
      </c>
      <c r="C15" s="281">
        <v>104.29</v>
      </c>
      <c r="D15" s="21">
        <v>36</v>
      </c>
      <c r="E15" s="299">
        <v>0</v>
      </c>
      <c r="F15" s="178">
        <f t="shared" si="0"/>
        <v>0</v>
      </c>
      <c r="G15" s="6"/>
    </row>
    <row r="16" spans="1:7" x14ac:dyDescent="0.25">
      <c r="A16" s="296">
        <v>12</v>
      </c>
      <c r="B16" s="300" t="s">
        <v>210</v>
      </c>
      <c r="C16" s="281">
        <v>104.29</v>
      </c>
      <c r="D16" s="21">
        <v>37</v>
      </c>
      <c r="E16" s="299">
        <v>11</v>
      </c>
      <c r="F16" s="178">
        <f t="shared" si="0"/>
        <v>1147.19</v>
      </c>
      <c r="G16" s="6"/>
    </row>
    <row r="17" spans="1:7" x14ac:dyDescent="0.25">
      <c r="A17" s="296">
        <v>13</v>
      </c>
      <c r="B17" s="300" t="s">
        <v>211</v>
      </c>
      <c r="C17" s="281">
        <v>104.29</v>
      </c>
      <c r="D17" s="21">
        <v>38</v>
      </c>
      <c r="E17" s="299">
        <v>10</v>
      </c>
      <c r="F17" s="178">
        <f t="shared" si="0"/>
        <v>1042.9000000000001</v>
      </c>
      <c r="G17" s="6"/>
    </row>
    <row r="18" spans="1:7" x14ac:dyDescent="0.25">
      <c r="A18" s="296">
        <v>14</v>
      </c>
      <c r="B18" s="300" t="s">
        <v>212</v>
      </c>
      <c r="C18" s="281">
        <v>104.29</v>
      </c>
      <c r="D18" s="21">
        <v>39</v>
      </c>
      <c r="E18" s="299">
        <v>13</v>
      </c>
      <c r="F18" s="178">
        <f t="shared" si="0"/>
        <v>1355.77</v>
      </c>
      <c r="G18" s="6"/>
    </row>
    <row r="19" spans="1:7" x14ac:dyDescent="0.25">
      <c r="A19" s="296">
        <v>15</v>
      </c>
      <c r="B19" s="300" t="s">
        <v>213</v>
      </c>
      <c r="C19" s="281">
        <v>104.29</v>
      </c>
      <c r="D19" s="21">
        <v>40</v>
      </c>
      <c r="E19" s="299">
        <v>22</v>
      </c>
      <c r="F19" s="178">
        <f t="shared" si="0"/>
        <v>2294.38</v>
      </c>
      <c r="G19" s="6"/>
    </row>
    <row r="20" spans="1:7" x14ac:dyDescent="0.25">
      <c r="A20" s="296">
        <v>16</v>
      </c>
      <c r="B20" s="300" t="s">
        <v>214</v>
      </c>
      <c r="C20" s="281">
        <v>104.29</v>
      </c>
      <c r="D20" s="299">
        <v>41</v>
      </c>
      <c r="E20" s="299">
        <v>17</v>
      </c>
      <c r="F20" s="178">
        <f t="shared" si="0"/>
        <v>1772.93</v>
      </c>
      <c r="G20" s="6"/>
    </row>
    <row r="21" spans="1:7" x14ac:dyDescent="0.25">
      <c r="A21" s="296">
        <v>17</v>
      </c>
      <c r="B21" s="300" t="s">
        <v>215</v>
      </c>
      <c r="C21" s="281">
        <v>104.29</v>
      </c>
      <c r="D21" s="21">
        <v>42</v>
      </c>
      <c r="E21" s="299">
        <v>20</v>
      </c>
      <c r="F21" s="178">
        <f t="shared" si="0"/>
        <v>2085.8000000000002</v>
      </c>
      <c r="G21" s="6"/>
    </row>
    <row r="22" spans="1:7" x14ac:dyDescent="0.25">
      <c r="A22" s="296">
        <v>18</v>
      </c>
      <c r="B22" s="300" t="s">
        <v>216</v>
      </c>
      <c r="C22" s="281">
        <v>104.29</v>
      </c>
      <c r="D22" s="21">
        <v>43</v>
      </c>
      <c r="E22" s="299">
        <v>20</v>
      </c>
      <c r="F22" s="178">
        <f t="shared" si="0"/>
        <v>2085.8000000000002</v>
      </c>
      <c r="G22" s="6"/>
    </row>
    <row r="23" spans="1:7" x14ac:dyDescent="0.25">
      <c r="A23" s="296">
        <v>19</v>
      </c>
      <c r="B23" s="300" t="s">
        <v>217</v>
      </c>
      <c r="C23" s="281">
        <v>104.29</v>
      </c>
      <c r="D23" s="299">
        <v>44</v>
      </c>
      <c r="E23" s="299">
        <v>18</v>
      </c>
      <c r="F23" s="178">
        <f t="shared" si="0"/>
        <v>1877.22</v>
      </c>
      <c r="G23" s="6"/>
    </row>
    <row r="24" spans="1:7" x14ac:dyDescent="0.25">
      <c r="A24" s="296">
        <v>20</v>
      </c>
      <c r="B24" s="300" t="s">
        <v>218</v>
      </c>
      <c r="C24" s="281">
        <v>104.29</v>
      </c>
      <c r="D24" s="299">
        <v>45</v>
      </c>
      <c r="E24" s="299">
        <v>5</v>
      </c>
      <c r="F24" s="178">
        <f t="shared" si="0"/>
        <v>521.45000000000005</v>
      </c>
      <c r="G24" s="6"/>
    </row>
    <row r="25" spans="1:7" x14ac:dyDescent="0.25">
      <c r="A25" s="296">
        <v>21</v>
      </c>
      <c r="B25" s="300" t="s">
        <v>219</v>
      </c>
      <c r="C25" s="281">
        <v>104.29</v>
      </c>
      <c r="D25" s="299">
        <v>46</v>
      </c>
      <c r="E25" s="299">
        <v>2</v>
      </c>
      <c r="F25" s="178">
        <f t="shared" si="0"/>
        <v>208.58</v>
      </c>
      <c r="G25" s="6"/>
    </row>
    <row r="26" spans="1:7" x14ac:dyDescent="0.25">
      <c r="A26" s="296">
        <v>22</v>
      </c>
      <c r="B26" s="300" t="s">
        <v>220</v>
      </c>
      <c r="C26" s="281">
        <v>104.29</v>
      </c>
      <c r="D26" s="299">
        <v>48</v>
      </c>
      <c r="E26" s="299">
        <v>0</v>
      </c>
      <c r="F26" s="178">
        <f t="shared" si="0"/>
        <v>0</v>
      </c>
      <c r="G26" s="6"/>
    </row>
    <row r="27" spans="1:7" x14ac:dyDescent="0.25">
      <c r="A27" s="296">
        <v>23</v>
      </c>
      <c r="B27" s="300" t="s">
        <v>221</v>
      </c>
      <c r="C27" s="282">
        <v>40</v>
      </c>
      <c r="D27" s="299" t="s">
        <v>284</v>
      </c>
      <c r="E27" s="299">
        <v>111</v>
      </c>
      <c r="F27" s="178">
        <f t="shared" si="0"/>
        <v>4440</v>
      </c>
      <c r="G27" s="6"/>
    </row>
    <row r="28" spans="1:7" x14ac:dyDescent="0.25">
      <c r="A28" s="296">
        <v>24</v>
      </c>
      <c r="B28" s="300" t="s">
        <v>222</v>
      </c>
      <c r="C28" s="302">
        <v>180.23</v>
      </c>
      <c r="D28" s="5" t="s">
        <v>11</v>
      </c>
      <c r="E28" s="299">
        <v>0</v>
      </c>
      <c r="F28" s="178">
        <f t="shared" si="0"/>
        <v>0</v>
      </c>
      <c r="G28" s="6"/>
    </row>
    <row r="29" spans="1:7" x14ac:dyDescent="0.25">
      <c r="A29" s="296">
        <v>25</v>
      </c>
      <c r="B29" s="300" t="s">
        <v>122</v>
      </c>
      <c r="C29" s="281">
        <v>75</v>
      </c>
      <c r="D29" s="5" t="s">
        <v>11</v>
      </c>
      <c r="E29" s="299">
        <v>101</v>
      </c>
      <c r="F29" s="178">
        <f t="shared" si="0"/>
        <v>7575</v>
      </c>
      <c r="G29" s="6"/>
    </row>
    <row r="30" spans="1:7" x14ac:dyDescent="0.25">
      <c r="A30" s="296">
        <v>26</v>
      </c>
      <c r="B30" s="303" t="s">
        <v>285</v>
      </c>
      <c r="C30" s="304">
        <v>48.25</v>
      </c>
      <c r="D30" s="5"/>
      <c r="E30" s="299">
        <v>0</v>
      </c>
      <c r="F30" s="178">
        <f t="shared" si="0"/>
        <v>0</v>
      </c>
      <c r="G30" s="6"/>
    </row>
    <row r="31" spans="1:7" x14ac:dyDescent="0.25">
      <c r="A31" s="296">
        <v>27</v>
      </c>
      <c r="B31" s="231" t="s">
        <v>286</v>
      </c>
      <c r="C31" s="304"/>
      <c r="D31" s="5"/>
      <c r="E31" s="299">
        <v>116</v>
      </c>
      <c r="F31" s="178"/>
      <c r="G31" s="6"/>
    </row>
    <row r="32" spans="1:7" x14ac:dyDescent="0.25">
      <c r="A32" s="296">
        <v>28</v>
      </c>
      <c r="B32" s="305" t="s">
        <v>224</v>
      </c>
      <c r="C32" s="304">
        <v>584.20000000000005</v>
      </c>
      <c r="D32" s="299" t="s">
        <v>287</v>
      </c>
      <c r="E32" s="299">
        <v>108</v>
      </c>
      <c r="F32" s="178">
        <f t="shared" si="0"/>
        <v>63093.600000000006</v>
      </c>
      <c r="G32" s="27"/>
    </row>
    <row r="33" spans="1:7" x14ac:dyDescent="0.25">
      <c r="A33" s="296">
        <v>29</v>
      </c>
      <c r="B33" s="300" t="s">
        <v>225</v>
      </c>
      <c r="C33" s="281">
        <v>21</v>
      </c>
      <c r="D33" s="5" t="s">
        <v>11</v>
      </c>
      <c r="E33" s="299">
        <v>115</v>
      </c>
      <c r="F33" s="178">
        <f t="shared" si="0"/>
        <v>2415</v>
      </c>
      <c r="G33" s="6"/>
    </row>
    <row r="34" spans="1:7" x14ac:dyDescent="0.25">
      <c r="A34" s="296">
        <v>30</v>
      </c>
      <c r="B34" s="300" t="s">
        <v>226</v>
      </c>
      <c r="C34" s="306">
        <v>39</v>
      </c>
      <c r="D34" s="5" t="s">
        <v>11</v>
      </c>
      <c r="E34" s="299">
        <v>412</v>
      </c>
      <c r="F34" s="178">
        <f t="shared" si="0"/>
        <v>16068</v>
      </c>
      <c r="G34" s="6"/>
    </row>
    <row r="35" spans="1:7" x14ac:dyDescent="0.25">
      <c r="A35" s="296">
        <v>31</v>
      </c>
      <c r="B35" s="300" t="s">
        <v>288</v>
      </c>
      <c r="C35" s="306">
        <v>28.94</v>
      </c>
      <c r="D35" s="5" t="s">
        <v>289</v>
      </c>
      <c r="E35" s="299">
        <v>105</v>
      </c>
      <c r="F35" s="178">
        <f t="shared" si="0"/>
        <v>3038.7000000000003</v>
      </c>
      <c r="G35" s="6"/>
    </row>
    <row r="36" spans="1:7" x14ac:dyDescent="0.25">
      <c r="A36" s="296">
        <v>32</v>
      </c>
      <c r="B36" s="300" t="s">
        <v>89</v>
      </c>
      <c r="C36" s="306"/>
      <c r="D36" s="5"/>
      <c r="E36" s="299">
        <v>116</v>
      </c>
      <c r="F36" s="178"/>
      <c r="G36" s="6"/>
    </row>
    <row r="37" spans="1:7" x14ac:dyDescent="0.25">
      <c r="A37" s="296">
        <v>33</v>
      </c>
      <c r="B37" s="300" t="s">
        <v>290</v>
      </c>
      <c r="C37" s="306">
        <v>8.6300000000000008</v>
      </c>
      <c r="D37" s="5"/>
      <c r="E37" s="299">
        <v>21</v>
      </c>
      <c r="F37" s="178">
        <f t="shared" si="0"/>
        <v>181.23000000000002</v>
      </c>
      <c r="G37" s="6"/>
    </row>
    <row r="38" spans="1:7" x14ac:dyDescent="0.25">
      <c r="A38" s="296">
        <v>34</v>
      </c>
      <c r="B38" s="300" t="s">
        <v>230</v>
      </c>
      <c r="C38" s="281">
        <v>267.69</v>
      </c>
      <c r="D38" s="5" t="s">
        <v>11</v>
      </c>
      <c r="E38" s="299">
        <v>0</v>
      </c>
      <c r="F38" s="178">
        <f t="shared" si="0"/>
        <v>0</v>
      </c>
      <c r="G38" s="6"/>
    </row>
    <row r="39" spans="1:7" x14ac:dyDescent="0.25">
      <c r="A39" s="219">
        <v>35</v>
      </c>
      <c r="B39" s="307" t="s">
        <v>91</v>
      </c>
      <c r="C39" s="281">
        <v>267.69</v>
      </c>
      <c r="D39" s="5" t="s">
        <v>11</v>
      </c>
      <c r="E39" s="299">
        <v>0</v>
      </c>
      <c r="F39" s="178">
        <f t="shared" si="0"/>
        <v>0</v>
      </c>
      <c r="G39" s="6"/>
    </row>
    <row r="40" spans="1:7" x14ac:dyDescent="0.25">
      <c r="A40" s="296">
        <v>36</v>
      </c>
      <c r="B40" s="308" t="s">
        <v>176</v>
      </c>
      <c r="C40" s="245">
        <v>30.66</v>
      </c>
      <c r="D40" s="299"/>
      <c r="E40" s="299">
        <v>165</v>
      </c>
      <c r="F40" s="178">
        <f t="shared" si="0"/>
        <v>5058.8999999999996</v>
      </c>
      <c r="G40" s="6"/>
    </row>
    <row r="41" spans="1:7" x14ac:dyDescent="0.25">
      <c r="A41" s="296">
        <v>37</v>
      </c>
      <c r="B41" s="300" t="s">
        <v>96</v>
      </c>
      <c r="C41" s="178">
        <v>38</v>
      </c>
      <c r="D41" s="299" t="s">
        <v>284</v>
      </c>
      <c r="E41" s="299">
        <v>180</v>
      </c>
      <c r="F41" s="178">
        <f t="shared" si="0"/>
        <v>6840</v>
      </c>
      <c r="G41" s="6"/>
    </row>
    <row r="42" spans="1:7" x14ac:dyDescent="0.25">
      <c r="A42" s="296">
        <v>38</v>
      </c>
      <c r="B42" s="300" t="s">
        <v>274</v>
      </c>
      <c r="C42" s="125">
        <v>36.31</v>
      </c>
      <c r="D42" s="5" t="s">
        <v>11</v>
      </c>
      <c r="E42" s="299">
        <v>0</v>
      </c>
      <c r="F42" s="178">
        <f t="shared" si="0"/>
        <v>0</v>
      </c>
      <c r="G42" s="6"/>
    </row>
    <row r="43" spans="1:7" x14ac:dyDescent="0.25">
      <c r="A43" s="296">
        <v>39</v>
      </c>
      <c r="B43" s="300" t="s">
        <v>275</v>
      </c>
      <c r="C43" s="309"/>
      <c r="D43" s="5" t="s">
        <v>11</v>
      </c>
      <c r="E43" s="299">
        <v>0</v>
      </c>
      <c r="F43" s="178">
        <f t="shared" si="0"/>
        <v>0</v>
      </c>
      <c r="G43" s="6"/>
    </row>
    <row r="44" spans="1:7" x14ac:dyDescent="0.25">
      <c r="A44" s="296">
        <v>40</v>
      </c>
      <c r="B44" s="300" t="s">
        <v>235</v>
      </c>
      <c r="C44" s="124">
        <v>62.14</v>
      </c>
      <c r="D44" s="310" t="s">
        <v>11</v>
      </c>
      <c r="E44" s="299">
        <v>0</v>
      </c>
      <c r="F44" s="178">
        <f t="shared" si="0"/>
        <v>0</v>
      </c>
      <c r="G44" s="6"/>
    </row>
    <row r="45" spans="1:7" x14ac:dyDescent="0.25">
      <c r="A45" s="296">
        <v>41</v>
      </c>
      <c r="B45" s="300" t="s">
        <v>291</v>
      </c>
      <c r="C45" s="311">
        <v>4.8499999999999996</v>
      </c>
      <c r="D45" s="5" t="s">
        <v>11</v>
      </c>
      <c r="E45" s="299">
        <v>115</v>
      </c>
      <c r="F45" s="178">
        <f t="shared" si="0"/>
        <v>557.75</v>
      </c>
      <c r="G45" s="6"/>
    </row>
    <row r="46" spans="1:7" x14ac:dyDescent="0.25">
      <c r="A46" s="296">
        <v>42</v>
      </c>
      <c r="B46" s="300" t="s">
        <v>64</v>
      </c>
      <c r="C46" s="312">
        <v>4</v>
      </c>
      <c r="D46" s="5" t="s">
        <v>11</v>
      </c>
      <c r="E46" s="299">
        <v>141</v>
      </c>
      <c r="F46" s="178">
        <f t="shared" si="0"/>
        <v>564</v>
      </c>
      <c r="G46" s="6"/>
    </row>
    <row r="47" spans="1:7" x14ac:dyDescent="0.25">
      <c r="A47" s="296">
        <v>43</v>
      </c>
      <c r="B47" s="313" t="s">
        <v>292</v>
      </c>
      <c r="C47" s="314">
        <v>9</v>
      </c>
      <c r="D47" s="5" t="s">
        <v>11</v>
      </c>
      <c r="E47" s="299">
        <v>28</v>
      </c>
      <c r="F47" s="178">
        <f t="shared" si="0"/>
        <v>252</v>
      </c>
      <c r="G47" s="6"/>
    </row>
    <row r="48" spans="1:7" x14ac:dyDescent="0.25">
      <c r="A48" s="296">
        <v>44</v>
      </c>
      <c r="B48" s="300" t="s">
        <v>238</v>
      </c>
      <c r="C48" s="314">
        <v>8.08</v>
      </c>
      <c r="D48" s="5" t="s">
        <v>11</v>
      </c>
      <c r="E48" s="299">
        <v>47</v>
      </c>
      <c r="F48" s="178">
        <f t="shared" si="0"/>
        <v>379.76</v>
      </c>
      <c r="G48" s="6"/>
    </row>
    <row r="49" spans="1:8" x14ac:dyDescent="0.25">
      <c r="A49" s="296">
        <v>45</v>
      </c>
      <c r="B49" s="315" t="s">
        <v>144</v>
      </c>
      <c r="C49" s="178">
        <v>41.39</v>
      </c>
      <c r="D49" s="5" t="s">
        <v>11</v>
      </c>
      <c r="E49" s="299">
        <v>1</v>
      </c>
      <c r="F49" s="178">
        <f t="shared" si="0"/>
        <v>41.39</v>
      </c>
      <c r="G49" s="6"/>
    </row>
    <row r="50" spans="1:8" x14ac:dyDescent="0.25">
      <c r="A50" s="296">
        <v>46</v>
      </c>
      <c r="B50" s="316" t="s">
        <v>251</v>
      </c>
      <c r="C50" s="317">
        <v>148.03</v>
      </c>
      <c r="D50" s="5" t="s">
        <v>11</v>
      </c>
      <c r="E50" s="299">
        <v>0</v>
      </c>
      <c r="F50" s="178">
        <f t="shared" si="0"/>
        <v>0</v>
      </c>
      <c r="G50" s="6"/>
    </row>
    <row r="51" spans="1:8" x14ac:dyDescent="0.25">
      <c r="A51" s="296">
        <v>47</v>
      </c>
      <c r="B51" s="318" t="s">
        <v>293</v>
      </c>
      <c r="C51" s="281">
        <v>15.19</v>
      </c>
      <c r="D51" s="5" t="s">
        <v>11</v>
      </c>
      <c r="E51" s="299">
        <v>0</v>
      </c>
      <c r="F51" s="178">
        <f t="shared" si="0"/>
        <v>0</v>
      </c>
      <c r="G51" s="6"/>
    </row>
    <row r="52" spans="1:8" x14ac:dyDescent="0.25">
      <c r="A52" s="296">
        <v>48</v>
      </c>
      <c r="B52" s="319" t="s">
        <v>294</v>
      </c>
      <c r="C52" s="320">
        <v>24.55</v>
      </c>
      <c r="D52" s="5" t="s">
        <v>11</v>
      </c>
      <c r="E52" s="299">
        <v>177</v>
      </c>
      <c r="F52" s="178">
        <f t="shared" si="0"/>
        <v>4345.3500000000004</v>
      </c>
      <c r="G52" s="6"/>
    </row>
    <row r="53" spans="1:8" x14ac:dyDescent="0.25">
      <c r="A53" s="296">
        <v>49</v>
      </c>
      <c r="B53" s="321" t="s">
        <v>69</v>
      </c>
      <c r="C53" s="178">
        <v>890.46</v>
      </c>
      <c r="D53" s="5" t="s">
        <v>11</v>
      </c>
      <c r="E53" s="299">
        <v>109</v>
      </c>
      <c r="F53" s="178">
        <f t="shared" si="0"/>
        <v>97060.14</v>
      </c>
      <c r="G53" s="6"/>
    </row>
    <row r="54" spans="1:8" x14ac:dyDescent="0.25">
      <c r="A54" s="296">
        <v>50</v>
      </c>
      <c r="B54" s="305" t="s">
        <v>253</v>
      </c>
      <c r="C54" s="178">
        <v>355</v>
      </c>
      <c r="D54" s="299" t="s">
        <v>295</v>
      </c>
      <c r="E54" s="299">
        <v>3</v>
      </c>
      <c r="F54" s="178">
        <f t="shared" si="0"/>
        <v>1065</v>
      </c>
      <c r="G54" s="6"/>
    </row>
    <row r="55" spans="1:8" x14ac:dyDescent="0.25">
      <c r="A55" s="296">
        <v>51</v>
      </c>
      <c r="B55" s="300" t="s">
        <v>278</v>
      </c>
      <c r="C55" s="178">
        <v>280.39</v>
      </c>
      <c r="D55" s="5" t="s">
        <v>11</v>
      </c>
      <c r="E55" s="299">
        <v>0</v>
      </c>
      <c r="F55" s="178">
        <f t="shared" si="0"/>
        <v>0</v>
      </c>
      <c r="G55" s="6"/>
    </row>
    <row r="56" spans="1:8" x14ac:dyDescent="0.25">
      <c r="A56" s="296">
        <v>52</v>
      </c>
      <c r="B56" s="300" t="s">
        <v>256</v>
      </c>
      <c r="C56" s="322">
        <v>385</v>
      </c>
      <c r="D56" s="5" t="s">
        <v>11</v>
      </c>
      <c r="E56" s="299">
        <v>0</v>
      </c>
      <c r="F56" s="178">
        <f t="shared" si="0"/>
        <v>0</v>
      </c>
      <c r="G56" s="6"/>
    </row>
    <row r="57" spans="1:8" x14ac:dyDescent="0.25">
      <c r="A57" s="296">
        <v>53</v>
      </c>
      <c r="B57" s="316" t="s">
        <v>73</v>
      </c>
      <c r="C57" s="322">
        <v>311.64999999999998</v>
      </c>
      <c r="D57" s="5" t="s">
        <v>11</v>
      </c>
      <c r="E57" s="299">
        <v>98</v>
      </c>
      <c r="F57" s="178">
        <f>C57*E57</f>
        <v>30541.699999999997</v>
      </c>
      <c r="G57" s="6"/>
    </row>
    <row r="58" spans="1:8" x14ac:dyDescent="0.25">
      <c r="A58" s="323">
        <v>54</v>
      </c>
      <c r="B58" s="316" t="s">
        <v>72</v>
      </c>
      <c r="C58" s="322"/>
      <c r="D58" s="5"/>
      <c r="E58" s="299">
        <v>139</v>
      </c>
      <c r="F58" s="178"/>
      <c r="G58" s="6"/>
    </row>
    <row r="59" spans="1:8" x14ac:dyDescent="0.25">
      <c r="A59" s="324"/>
      <c r="B59" s="324"/>
      <c r="C59" s="325"/>
      <c r="D59" s="325"/>
      <c r="E59" s="325"/>
      <c r="F59" s="326">
        <f>SUM(F5:F57)</f>
        <v>271506.53000000003</v>
      </c>
      <c r="G59" s="327"/>
      <c r="H59" s="228"/>
    </row>
    <row r="60" spans="1:8" x14ac:dyDescent="0.25">
      <c r="A60" s="504"/>
      <c r="B60" s="505"/>
      <c r="C60" s="505"/>
      <c r="D60" s="505"/>
      <c r="E60" s="505"/>
      <c r="F60" s="505"/>
      <c r="G60" s="506"/>
      <c r="H60" s="104"/>
    </row>
    <row r="61" spans="1:8" ht="15.75" customHeight="1" x14ac:dyDescent="0.25">
      <c r="A61" s="486" t="s">
        <v>296</v>
      </c>
      <c r="B61" s="486"/>
      <c r="C61" s="486"/>
      <c r="D61" s="486"/>
      <c r="E61" s="486"/>
      <c r="F61" s="486"/>
      <c r="G61" s="487"/>
      <c r="H61" s="104"/>
    </row>
    <row r="62" spans="1:8" ht="15.75" customHeight="1" x14ac:dyDescent="0.25">
      <c r="A62" s="120" t="s">
        <v>3</v>
      </c>
      <c r="B62" s="120" t="s">
        <v>4</v>
      </c>
      <c r="C62" s="120" t="s">
        <v>5</v>
      </c>
      <c r="D62" s="118" t="s">
        <v>6</v>
      </c>
      <c r="E62" s="118" t="s">
        <v>7</v>
      </c>
      <c r="F62" s="118" t="s">
        <v>8</v>
      </c>
      <c r="G62" s="118" t="s">
        <v>9</v>
      </c>
      <c r="H62" s="104"/>
    </row>
    <row r="63" spans="1:8" ht="15.75" customHeight="1" x14ac:dyDescent="0.25">
      <c r="A63" s="503" t="s">
        <v>75</v>
      </c>
      <c r="B63" s="503"/>
      <c r="C63" s="503"/>
      <c r="D63" s="503"/>
      <c r="E63" s="503"/>
      <c r="F63" s="503"/>
      <c r="G63" s="503"/>
    </row>
    <row r="64" spans="1:8" ht="15.75" customHeight="1" x14ac:dyDescent="0.25">
      <c r="A64" s="106">
        <v>1</v>
      </c>
      <c r="B64" s="151" t="s">
        <v>258</v>
      </c>
      <c r="C64" s="134">
        <v>44</v>
      </c>
      <c r="D64" s="5" t="s">
        <v>11</v>
      </c>
      <c r="E64" s="152">
        <v>10</v>
      </c>
      <c r="F64" s="182">
        <f>C64*E64</f>
        <v>440</v>
      </c>
      <c r="G64" s="6"/>
    </row>
    <row r="65" spans="1:7" ht="15.75" customHeight="1" x14ac:dyDescent="0.25">
      <c r="A65" s="106">
        <v>2</v>
      </c>
      <c r="B65" s="151" t="s">
        <v>259</v>
      </c>
      <c r="C65" s="134">
        <v>65</v>
      </c>
      <c r="D65" s="5" t="s">
        <v>11</v>
      </c>
      <c r="E65" s="152">
        <v>40</v>
      </c>
      <c r="F65" s="182">
        <f t="shared" ref="F65:F67" si="1">C65*E65</f>
        <v>2600</v>
      </c>
      <c r="G65" s="6"/>
    </row>
    <row r="66" spans="1:7" ht="15.75" customHeight="1" x14ac:dyDescent="0.25">
      <c r="A66" s="106">
        <v>3</v>
      </c>
      <c r="B66" s="151" t="s">
        <v>260</v>
      </c>
      <c r="C66" s="134">
        <v>98.7</v>
      </c>
      <c r="D66" s="5" t="s">
        <v>11</v>
      </c>
      <c r="E66" s="152">
        <v>60</v>
      </c>
      <c r="F66" s="182">
        <f t="shared" si="1"/>
        <v>5922</v>
      </c>
      <c r="G66" s="6"/>
    </row>
    <row r="67" spans="1:7" ht="15.75" customHeight="1" x14ac:dyDescent="0.25">
      <c r="A67" s="106">
        <v>4</v>
      </c>
      <c r="B67" s="151" t="s">
        <v>261</v>
      </c>
      <c r="C67" s="134">
        <v>143.56</v>
      </c>
      <c r="D67" s="5" t="s">
        <v>11</v>
      </c>
      <c r="E67" s="152">
        <v>20</v>
      </c>
      <c r="F67" s="182">
        <f t="shared" si="1"/>
        <v>2871.2</v>
      </c>
      <c r="G67" s="6"/>
    </row>
    <row r="68" spans="1:7" ht="15.75" customHeight="1" x14ac:dyDescent="0.25">
      <c r="A68" s="489" t="s">
        <v>163</v>
      </c>
      <c r="B68" s="489"/>
      <c r="C68" s="489"/>
      <c r="D68" s="489"/>
      <c r="E68" s="489"/>
      <c r="F68" s="489"/>
      <c r="G68" s="489"/>
    </row>
    <row r="69" spans="1:7" ht="15.75" customHeight="1" x14ac:dyDescent="0.25">
      <c r="A69" s="106">
        <v>1</v>
      </c>
      <c r="B69" s="151" t="s">
        <v>258</v>
      </c>
      <c r="C69" s="134">
        <v>44</v>
      </c>
      <c r="D69" s="5" t="s">
        <v>11</v>
      </c>
      <c r="E69" s="152">
        <v>0</v>
      </c>
      <c r="F69" s="182">
        <f>C69*E69</f>
        <v>0</v>
      </c>
      <c r="G69" s="6"/>
    </row>
    <row r="70" spans="1:7" ht="15.75" customHeight="1" x14ac:dyDescent="0.25">
      <c r="A70" s="106">
        <v>2</v>
      </c>
      <c r="B70" s="151" t="s">
        <v>259</v>
      </c>
      <c r="C70" s="134">
        <v>65</v>
      </c>
      <c r="D70" s="5" t="s">
        <v>11</v>
      </c>
      <c r="E70" s="152">
        <v>0</v>
      </c>
      <c r="F70" s="182">
        <f t="shared" ref="F70:F72" si="2">C70*E70</f>
        <v>0</v>
      </c>
      <c r="G70" s="6"/>
    </row>
    <row r="71" spans="1:7" ht="15.75" customHeight="1" x14ac:dyDescent="0.25">
      <c r="A71" s="106">
        <v>3</v>
      </c>
      <c r="B71" s="151" t="s">
        <v>260</v>
      </c>
      <c r="C71" s="134">
        <v>98.7</v>
      </c>
      <c r="D71" s="5" t="s">
        <v>11</v>
      </c>
      <c r="E71" s="152">
        <v>0</v>
      </c>
      <c r="F71" s="182">
        <f t="shared" si="2"/>
        <v>0</v>
      </c>
      <c r="G71" s="6"/>
    </row>
    <row r="72" spans="1:7" ht="15.75" customHeight="1" x14ac:dyDescent="0.25">
      <c r="A72" s="106">
        <v>4</v>
      </c>
      <c r="B72" s="151" t="s">
        <v>261</v>
      </c>
      <c r="C72" s="134">
        <v>143.56</v>
      </c>
      <c r="D72" s="5" t="s">
        <v>11</v>
      </c>
      <c r="E72" s="152">
        <v>0</v>
      </c>
      <c r="F72" s="182">
        <f t="shared" si="2"/>
        <v>0</v>
      </c>
      <c r="G72" s="6"/>
    </row>
    <row r="73" spans="1:7" ht="15.75" customHeight="1" x14ac:dyDescent="0.25">
      <c r="A73" s="92"/>
      <c r="B73" s="92"/>
      <c r="C73" s="150"/>
      <c r="D73" s="117"/>
      <c r="E73" s="150"/>
      <c r="F73" s="82" cm="1">
        <f t="array" ref="F73">SUM(F64:F67+F69:F72)</f>
        <v>11833.2</v>
      </c>
      <c r="G73" s="90"/>
    </row>
  </sheetData>
  <autoFilter ref="A4:G59" xr:uid="{909CAF55-A8BF-4000-A35D-78DA3AB89B74}">
    <sortState xmlns:xlrd2="http://schemas.microsoft.com/office/spreadsheetml/2017/richdata2" ref="A5:G59">
      <sortCondition ref="B4"/>
    </sortState>
  </autoFilter>
  <mergeCells count="7">
    <mergeCell ref="A1:G1"/>
    <mergeCell ref="A2:G2"/>
    <mergeCell ref="A3:G3"/>
    <mergeCell ref="A63:G63"/>
    <mergeCell ref="A68:G68"/>
    <mergeCell ref="A61:G61"/>
    <mergeCell ref="A60:G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E10B-7D5A-427E-AB33-02C0B4C35BA7}">
  <sheetPr>
    <tabColor rgb="FFC00000"/>
  </sheetPr>
  <dimension ref="A1:H73"/>
  <sheetViews>
    <sheetView zoomScale="96" zoomScaleNormal="96" workbookViewId="0">
      <selection activeCell="A2" sqref="A2:G2"/>
    </sheetView>
  </sheetViews>
  <sheetFormatPr defaultRowHeight="15" x14ac:dyDescent="0.25"/>
  <cols>
    <col min="2" max="2" width="48.42578125" customWidth="1"/>
    <col min="3" max="3" width="15.140625" customWidth="1"/>
    <col min="4" max="4" width="10.7109375" style="30" customWidth="1"/>
    <col min="5" max="6" width="12.7109375" customWidth="1"/>
    <col min="7" max="7" width="14.140625" customWidth="1"/>
    <col min="8" max="8" width="9.85546875" bestFit="1" customWidth="1"/>
  </cols>
  <sheetData>
    <row r="1" spans="1:7" ht="18" customHeight="1" x14ac:dyDescent="0.25">
      <c r="A1" s="447" t="s">
        <v>297</v>
      </c>
      <c r="B1" s="447"/>
      <c r="C1" s="447"/>
      <c r="D1" s="447"/>
      <c r="E1" s="447"/>
      <c r="F1" s="447"/>
      <c r="G1" s="447"/>
    </row>
    <row r="2" spans="1:7" ht="18" customHeight="1" x14ac:dyDescent="0.25">
      <c r="A2" s="447" t="s">
        <v>298</v>
      </c>
      <c r="B2" s="447"/>
      <c r="C2" s="447"/>
      <c r="D2" s="447"/>
      <c r="E2" s="447"/>
      <c r="F2" s="447"/>
      <c r="G2" s="447"/>
    </row>
    <row r="3" spans="1:7" ht="18" customHeight="1" x14ac:dyDescent="0.25">
      <c r="A3" s="447" t="s">
        <v>299</v>
      </c>
      <c r="B3" s="447"/>
      <c r="C3" s="447"/>
      <c r="D3" s="447"/>
      <c r="E3" s="447"/>
      <c r="F3" s="447"/>
      <c r="G3" s="447"/>
    </row>
    <row r="4" spans="1:7" x14ac:dyDescent="0.25">
      <c r="A4" s="28" t="s">
        <v>3</v>
      </c>
      <c r="B4" s="28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ht="15" customHeight="1" x14ac:dyDescent="0.25">
      <c r="A5" s="20">
        <v>1</v>
      </c>
      <c r="B5" s="165" t="s">
        <v>200</v>
      </c>
      <c r="C5" s="183"/>
      <c r="D5" s="5" t="s">
        <v>11</v>
      </c>
      <c r="E5" s="167">
        <v>0</v>
      </c>
      <c r="F5" s="185">
        <f t="shared" ref="F5:F39" si="0">C5*E5</f>
        <v>0</v>
      </c>
      <c r="G5" s="51"/>
    </row>
    <row r="6" spans="1:7" ht="15" customHeight="1" x14ac:dyDescent="0.25">
      <c r="A6" s="20">
        <v>2</v>
      </c>
      <c r="B6" s="74" t="s">
        <v>10</v>
      </c>
      <c r="C6" s="183">
        <f>'ESTOQUE - SPO'!D6</f>
        <v>126.1</v>
      </c>
      <c r="D6" s="5" t="s">
        <v>11</v>
      </c>
      <c r="E6" s="167">
        <v>2</v>
      </c>
      <c r="F6" s="185">
        <f t="shared" si="0"/>
        <v>252.2</v>
      </c>
      <c r="G6" s="6"/>
    </row>
    <row r="7" spans="1:7" ht="15" customHeight="1" x14ac:dyDescent="0.25">
      <c r="A7" s="20">
        <v>3</v>
      </c>
      <c r="B7" s="74" t="s">
        <v>201</v>
      </c>
      <c r="C7" s="183">
        <v>69.900000000000006</v>
      </c>
      <c r="D7" s="17">
        <v>38</v>
      </c>
      <c r="E7" s="167">
        <v>0</v>
      </c>
      <c r="F7" s="185">
        <f t="shared" si="0"/>
        <v>0</v>
      </c>
      <c r="G7" s="6"/>
    </row>
    <row r="8" spans="1:7" ht="15" customHeight="1" x14ac:dyDescent="0.25">
      <c r="A8" s="20">
        <v>4</v>
      </c>
      <c r="B8" s="74" t="s">
        <v>202</v>
      </c>
      <c r="C8" s="183">
        <v>69.900000000000006</v>
      </c>
      <c r="D8" s="18">
        <v>39</v>
      </c>
      <c r="E8" s="167">
        <v>0</v>
      </c>
      <c r="F8" s="185">
        <f t="shared" si="0"/>
        <v>0</v>
      </c>
      <c r="G8" s="6"/>
    </row>
    <row r="9" spans="1:7" ht="15" customHeight="1" x14ac:dyDescent="0.25">
      <c r="A9" s="20">
        <v>5</v>
      </c>
      <c r="B9" s="74" t="s">
        <v>203</v>
      </c>
      <c r="C9" s="183">
        <v>69.900000000000006</v>
      </c>
      <c r="D9" s="16">
        <v>40</v>
      </c>
      <c r="E9" s="167">
        <v>0</v>
      </c>
      <c r="F9" s="185">
        <f t="shared" si="0"/>
        <v>0</v>
      </c>
      <c r="G9" s="6"/>
    </row>
    <row r="10" spans="1:7" ht="15" customHeight="1" x14ac:dyDescent="0.25">
      <c r="A10" s="20">
        <v>6</v>
      </c>
      <c r="B10" s="74" t="s">
        <v>204</v>
      </c>
      <c r="C10" s="183">
        <v>69.900000000000006</v>
      </c>
      <c r="D10" s="17">
        <v>41</v>
      </c>
      <c r="E10" s="167">
        <v>0</v>
      </c>
      <c r="F10" s="185">
        <f t="shared" si="0"/>
        <v>0</v>
      </c>
      <c r="G10" s="6"/>
    </row>
    <row r="11" spans="1:7" ht="15" customHeight="1" x14ac:dyDescent="0.25">
      <c r="A11" s="20">
        <v>7</v>
      </c>
      <c r="B11" s="74" t="s">
        <v>205</v>
      </c>
      <c r="C11" s="183">
        <v>69.900000000000006</v>
      </c>
      <c r="D11" s="17">
        <v>42</v>
      </c>
      <c r="E11" s="167">
        <v>0</v>
      </c>
      <c r="F11" s="185">
        <f t="shared" si="0"/>
        <v>0</v>
      </c>
      <c r="G11" s="6"/>
    </row>
    <row r="12" spans="1:7" ht="15" customHeight="1" x14ac:dyDescent="0.25">
      <c r="A12" s="20">
        <v>8</v>
      </c>
      <c r="B12" s="74" t="s">
        <v>206</v>
      </c>
      <c r="C12" s="178">
        <v>104.29</v>
      </c>
      <c r="D12" s="18">
        <v>33</v>
      </c>
      <c r="E12" s="167">
        <v>0</v>
      </c>
      <c r="F12" s="185">
        <f t="shared" si="0"/>
        <v>0</v>
      </c>
      <c r="G12" s="6"/>
    </row>
    <row r="13" spans="1:7" ht="15" customHeight="1" x14ac:dyDescent="0.25">
      <c r="A13" s="20">
        <v>9</v>
      </c>
      <c r="B13" s="74" t="s">
        <v>207</v>
      </c>
      <c r="C13" s="178">
        <v>104.29</v>
      </c>
      <c r="D13" s="18">
        <v>32</v>
      </c>
      <c r="E13" s="167">
        <v>0</v>
      </c>
      <c r="F13" s="185">
        <f t="shared" si="0"/>
        <v>0</v>
      </c>
      <c r="G13" s="6"/>
    </row>
    <row r="14" spans="1:7" ht="15" customHeight="1" x14ac:dyDescent="0.25">
      <c r="A14" s="20">
        <v>10</v>
      </c>
      <c r="B14" s="74" t="s">
        <v>208</v>
      </c>
      <c r="C14" s="178">
        <v>104.29</v>
      </c>
      <c r="D14" s="18">
        <v>35</v>
      </c>
      <c r="E14" s="167">
        <v>5</v>
      </c>
      <c r="F14" s="185">
        <f t="shared" si="0"/>
        <v>521.45000000000005</v>
      </c>
      <c r="G14" s="6"/>
    </row>
    <row r="15" spans="1:7" ht="15" customHeight="1" x14ac:dyDescent="0.25">
      <c r="A15" s="20">
        <v>11</v>
      </c>
      <c r="B15" s="74" t="s">
        <v>209</v>
      </c>
      <c r="C15" s="178">
        <v>104.29</v>
      </c>
      <c r="D15" s="18">
        <v>36</v>
      </c>
      <c r="E15" s="167">
        <v>1</v>
      </c>
      <c r="F15" s="185">
        <f t="shared" si="0"/>
        <v>104.29</v>
      </c>
      <c r="G15" s="6"/>
    </row>
    <row r="16" spans="1:7" ht="15" customHeight="1" x14ac:dyDescent="0.25">
      <c r="A16" s="20">
        <v>12</v>
      </c>
      <c r="B16" s="74" t="s">
        <v>210</v>
      </c>
      <c r="C16" s="178">
        <v>104.29</v>
      </c>
      <c r="D16" s="18">
        <v>37</v>
      </c>
      <c r="E16" s="167">
        <v>10</v>
      </c>
      <c r="F16" s="185">
        <f t="shared" si="0"/>
        <v>1042.9000000000001</v>
      </c>
      <c r="G16" s="6"/>
    </row>
    <row r="17" spans="1:7" ht="15" customHeight="1" x14ac:dyDescent="0.25">
      <c r="A17" s="20">
        <v>13</v>
      </c>
      <c r="B17" s="74" t="s">
        <v>211</v>
      </c>
      <c r="C17" s="178">
        <v>104.29</v>
      </c>
      <c r="D17" s="18">
        <v>38</v>
      </c>
      <c r="E17" s="19">
        <v>14</v>
      </c>
      <c r="F17" s="185">
        <f t="shared" si="0"/>
        <v>1460.0600000000002</v>
      </c>
      <c r="G17" s="6"/>
    </row>
    <row r="18" spans="1:7" ht="15" customHeight="1" x14ac:dyDescent="0.25">
      <c r="A18" s="20">
        <v>14</v>
      </c>
      <c r="B18" s="74" t="s">
        <v>212</v>
      </c>
      <c r="C18" s="178">
        <v>104.29</v>
      </c>
      <c r="D18" s="18">
        <v>39</v>
      </c>
      <c r="E18" s="19">
        <v>20</v>
      </c>
      <c r="F18" s="185">
        <f t="shared" si="0"/>
        <v>2085.8000000000002</v>
      </c>
      <c r="G18" s="6"/>
    </row>
    <row r="19" spans="1:7" ht="15" customHeight="1" x14ac:dyDescent="0.25">
      <c r="A19" s="20">
        <v>15</v>
      </c>
      <c r="B19" s="74" t="s">
        <v>213</v>
      </c>
      <c r="C19" s="178">
        <v>104.29</v>
      </c>
      <c r="D19" s="18">
        <v>40</v>
      </c>
      <c r="E19" s="167">
        <v>10</v>
      </c>
      <c r="F19" s="185">
        <f t="shared" si="0"/>
        <v>1042.9000000000001</v>
      </c>
      <c r="G19" s="6"/>
    </row>
    <row r="20" spans="1:7" ht="15" customHeight="1" x14ac:dyDescent="0.25">
      <c r="A20" s="20">
        <v>16</v>
      </c>
      <c r="B20" s="74" t="s">
        <v>214</v>
      </c>
      <c r="C20" s="178">
        <v>104.29</v>
      </c>
      <c r="D20" s="16">
        <v>41</v>
      </c>
      <c r="E20" s="166">
        <v>14</v>
      </c>
      <c r="F20" s="185">
        <f t="shared" si="0"/>
        <v>1460.0600000000002</v>
      </c>
      <c r="G20" s="6"/>
    </row>
    <row r="21" spans="1:7" ht="15" customHeight="1" x14ac:dyDescent="0.25">
      <c r="A21" s="20">
        <v>17</v>
      </c>
      <c r="B21" s="74" t="s">
        <v>215</v>
      </c>
      <c r="C21" s="178">
        <v>104.29</v>
      </c>
      <c r="D21" s="18">
        <v>42</v>
      </c>
      <c r="E21" s="166">
        <v>18</v>
      </c>
      <c r="F21" s="185">
        <f t="shared" si="0"/>
        <v>1877.22</v>
      </c>
      <c r="G21" s="6"/>
    </row>
    <row r="22" spans="1:7" ht="15" customHeight="1" x14ac:dyDescent="0.25">
      <c r="A22" s="20">
        <v>18</v>
      </c>
      <c r="B22" s="74" t="s">
        <v>216</v>
      </c>
      <c r="C22" s="178">
        <v>104.29</v>
      </c>
      <c r="D22" s="18">
        <v>43</v>
      </c>
      <c r="E22" s="166">
        <v>13</v>
      </c>
      <c r="F22" s="185">
        <f t="shared" si="0"/>
        <v>1355.77</v>
      </c>
      <c r="G22" s="6"/>
    </row>
    <row r="23" spans="1:7" ht="15" customHeight="1" x14ac:dyDescent="0.25">
      <c r="A23" s="20">
        <v>19</v>
      </c>
      <c r="B23" s="165" t="s">
        <v>217</v>
      </c>
      <c r="C23" s="178">
        <v>104.29</v>
      </c>
      <c r="D23" s="17">
        <v>44</v>
      </c>
      <c r="E23" s="166">
        <v>0</v>
      </c>
      <c r="F23" s="185">
        <f t="shared" si="0"/>
        <v>0</v>
      </c>
      <c r="G23" s="51"/>
    </row>
    <row r="24" spans="1:7" ht="15" customHeight="1" x14ac:dyDescent="0.25">
      <c r="A24" s="20">
        <v>20</v>
      </c>
      <c r="B24" s="74" t="s">
        <v>218</v>
      </c>
      <c r="C24" s="178">
        <v>104.29</v>
      </c>
      <c r="D24" s="16">
        <v>45</v>
      </c>
      <c r="E24" s="166">
        <v>2</v>
      </c>
      <c r="F24" s="185">
        <f t="shared" si="0"/>
        <v>208.58</v>
      </c>
      <c r="G24" s="6"/>
    </row>
    <row r="25" spans="1:7" ht="15" customHeight="1" x14ac:dyDescent="0.25">
      <c r="A25" s="20">
        <v>21</v>
      </c>
      <c r="B25" s="74" t="s">
        <v>219</v>
      </c>
      <c r="C25" s="178">
        <v>104.29</v>
      </c>
      <c r="D25" s="16">
        <v>46</v>
      </c>
      <c r="E25" s="167">
        <v>0</v>
      </c>
      <c r="F25" s="185">
        <f t="shared" si="0"/>
        <v>0</v>
      </c>
      <c r="G25" s="6"/>
    </row>
    <row r="26" spans="1:7" ht="15" customHeight="1" x14ac:dyDescent="0.25">
      <c r="A26" s="20">
        <v>22</v>
      </c>
      <c r="B26" s="74" t="s">
        <v>220</v>
      </c>
      <c r="C26" s="178">
        <v>104.29</v>
      </c>
      <c r="D26" s="16">
        <v>48</v>
      </c>
      <c r="E26" s="167">
        <v>0</v>
      </c>
      <c r="F26" s="185">
        <f t="shared" si="0"/>
        <v>0</v>
      </c>
      <c r="G26" s="6"/>
    </row>
    <row r="27" spans="1:7" ht="15" customHeight="1" x14ac:dyDescent="0.25">
      <c r="A27" s="20">
        <v>23</v>
      </c>
      <c r="B27" s="165" t="s">
        <v>221</v>
      </c>
      <c r="C27" s="178">
        <v>40</v>
      </c>
      <c r="D27" s="17"/>
      <c r="E27" s="167">
        <v>39</v>
      </c>
      <c r="F27" s="185">
        <f t="shared" si="0"/>
        <v>1560</v>
      </c>
      <c r="G27" s="51"/>
    </row>
    <row r="28" spans="1:7" ht="15" customHeight="1" x14ac:dyDescent="0.25">
      <c r="A28" s="20">
        <v>24</v>
      </c>
      <c r="B28" s="74" t="s">
        <v>222</v>
      </c>
      <c r="C28" s="178">
        <v>180.93</v>
      </c>
      <c r="D28" s="5" t="s">
        <v>11</v>
      </c>
      <c r="E28" s="167">
        <v>0</v>
      </c>
      <c r="F28" s="185">
        <f t="shared" si="0"/>
        <v>0</v>
      </c>
      <c r="G28" s="6"/>
    </row>
    <row r="29" spans="1:7" ht="15" customHeight="1" x14ac:dyDescent="0.25">
      <c r="A29" s="20">
        <v>25</v>
      </c>
      <c r="B29" s="165" t="s">
        <v>122</v>
      </c>
      <c r="C29" s="178">
        <v>75</v>
      </c>
      <c r="D29" s="5" t="s">
        <v>11</v>
      </c>
      <c r="E29" s="166">
        <v>9</v>
      </c>
      <c r="F29" s="185">
        <f t="shared" si="0"/>
        <v>675</v>
      </c>
      <c r="G29" s="51"/>
    </row>
    <row r="30" spans="1:7" ht="15" customHeight="1" x14ac:dyDescent="0.25">
      <c r="A30" s="20">
        <v>26</v>
      </c>
      <c r="B30" s="74" t="s">
        <v>223</v>
      </c>
      <c r="C30" s="113">
        <v>48.25</v>
      </c>
      <c r="D30" s="5" t="s">
        <v>11</v>
      </c>
      <c r="E30" s="166">
        <v>53</v>
      </c>
      <c r="F30" s="185">
        <f t="shared" si="0"/>
        <v>2557.25</v>
      </c>
      <c r="G30" s="17"/>
    </row>
    <row r="31" spans="1:7" ht="15" customHeight="1" x14ac:dyDescent="0.25">
      <c r="A31" s="20">
        <v>27</v>
      </c>
      <c r="B31" s="138" t="s">
        <v>40</v>
      </c>
      <c r="C31" s="178">
        <v>87.97</v>
      </c>
      <c r="D31" s="5" t="s">
        <v>11</v>
      </c>
      <c r="E31" s="166">
        <v>28</v>
      </c>
      <c r="F31" s="185">
        <f t="shared" si="0"/>
        <v>2463.16</v>
      </c>
      <c r="G31" s="55"/>
    </row>
    <row r="32" spans="1:7" ht="15" customHeight="1" x14ac:dyDescent="0.25">
      <c r="A32" s="20">
        <v>28</v>
      </c>
      <c r="B32" s="74" t="s">
        <v>224</v>
      </c>
      <c r="C32" s="113">
        <v>584.20000000000005</v>
      </c>
      <c r="D32" s="5" t="s">
        <v>11</v>
      </c>
      <c r="E32" s="166">
        <v>11</v>
      </c>
      <c r="F32" s="185">
        <f t="shared" si="0"/>
        <v>6426.2000000000007</v>
      </c>
      <c r="G32" s="27"/>
    </row>
    <row r="33" spans="1:8" ht="15" customHeight="1" x14ac:dyDescent="0.25">
      <c r="A33" s="20">
        <v>29</v>
      </c>
      <c r="B33" s="165" t="s">
        <v>225</v>
      </c>
      <c r="C33" s="178">
        <v>21</v>
      </c>
      <c r="D33" s="5" t="s">
        <v>11</v>
      </c>
      <c r="E33" s="166">
        <v>4</v>
      </c>
      <c r="F33" s="185">
        <f t="shared" si="0"/>
        <v>84</v>
      </c>
      <c r="G33" s="51"/>
    </row>
    <row r="34" spans="1:8" ht="15" customHeight="1" x14ac:dyDescent="0.25">
      <c r="A34" s="20">
        <v>30</v>
      </c>
      <c r="B34" s="74" t="s">
        <v>226</v>
      </c>
      <c r="C34" s="178">
        <v>39</v>
      </c>
      <c r="D34" s="5" t="s">
        <v>11</v>
      </c>
      <c r="E34" s="166">
        <v>18</v>
      </c>
      <c r="F34" s="185">
        <f t="shared" si="0"/>
        <v>702</v>
      </c>
      <c r="G34" s="6"/>
    </row>
    <row r="35" spans="1:8" ht="15" customHeight="1" x14ac:dyDescent="0.25">
      <c r="A35" s="20">
        <v>31</v>
      </c>
      <c r="B35" s="74" t="s">
        <v>227</v>
      </c>
      <c r="C35" s="183">
        <v>81.83</v>
      </c>
      <c r="D35" s="5" t="s">
        <v>11</v>
      </c>
      <c r="E35" s="167">
        <v>0</v>
      </c>
      <c r="F35" s="185">
        <f t="shared" si="0"/>
        <v>0</v>
      </c>
      <c r="G35" s="6"/>
    </row>
    <row r="36" spans="1:8" ht="15" customHeight="1" x14ac:dyDescent="0.25">
      <c r="A36" s="20">
        <v>32</v>
      </c>
      <c r="B36" s="74" t="s">
        <v>228</v>
      </c>
      <c r="C36" s="178">
        <v>28.94</v>
      </c>
      <c r="D36" s="5" t="s">
        <v>11</v>
      </c>
      <c r="E36" s="167">
        <v>23</v>
      </c>
      <c r="F36" s="185">
        <f t="shared" si="0"/>
        <v>665.62</v>
      </c>
      <c r="G36" s="6"/>
    </row>
    <row r="37" spans="1:8" ht="15" customHeight="1" x14ac:dyDescent="0.25">
      <c r="A37" s="20">
        <v>33</v>
      </c>
      <c r="B37" s="165" t="s">
        <v>229</v>
      </c>
      <c r="C37" s="178">
        <v>8.6300000000000008</v>
      </c>
      <c r="D37" s="5" t="s">
        <v>11</v>
      </c>
      <c r="E37" s="166">
        <v>29</v>
      </c>
      <c r="F37" s="185">
        <f t="shared" si="0"/>
        <v>250.27</v>
      </c>
      <c r="G37" s="51"/>
    </row>
    <row r="38" spans="1:8" ht="15" customHeight="1" x14ac:dyDescent="0.25">
      <c r="A38" s="20">
        <v>34</v>
      </c>
      <c r="B38" s="74" t="s">
        <v>300</v>
      </c>
      <c r="C38" s="178">
        <v>267.69</v>
      </c>
      <c r="D38" s="17"/>
      <c r="E38" s="166">
        <v>12</v>
      </c>
      <c r="F38" s="185">
        <f t="shared" si="0"/>
        <v>3212.2799999999997</v>
      </c>
      <c r="G38" s="6"/>
    </row>
    <row r="39" spans="1:8" ht="15" customHeight="1" x14ac:dyDescent="0.25">
      <c r="A39" s="20">
        <v>35</v>
      </c>
      <c r="B39" s="74" t="s">
        <v>301</v>
      </c>
      <c r="C39" s="178">
        <v>267.69</v>
      </c>
      <c r="D39" s="17"/>
      <c r="E39" s="166">
        <v>0</v>
      </c>
      <c r="F39" s="185">
        <f t="shared" si="0"/>
        <v>0</v>
      </c>
      <c r="G39" s="6"/>
    </row>
    <row r="40" spans="1:8" ht="15" customHeight="1" x14ac:dyDescent="0.25">
      <c r="A40" s="20">
        <v>36</v>
      </c>
      <c r="B40" s="165" t="s">
        <v>302</v>
      </c>
      <c r="C40" s="178">
        <v>9.8000000000000007</v>
      </c>
      <c r="D40" s="17"/>
      <c r="E40" s="166">
        <v>0</v>
      </c>
      <c r="F40" s="185">
        <f>C41*E40</f>
        <v>0</v>
      </c>
      <c r="G40" s="6"/>
    </row>
    <row r="41" spans="1:8" ht="15" customHeight="1" x14ac:dyDescent="0.25">
      <c r="A41" s="20">
        <v>37</v>
      </c>
      <c r="B41" s="165" t="s">
        <v>95</v>
      </c>
      <c r="C41" s="178">
        <v>30.66</v>
      </c>
      <c r="D41" s="17"/>
      <c r="E41" s="166">
        <v>0</v>
      </c>
      <c r="F41" s="185">
        <f>C42*E41</f>
        <v>0</v>
      </c>
      <c r="G41" s="6"/>
    </row>
    <row r="42" spans="1:8" ht="15" customHeight="1" x14ac:dyDescent="0.25">
      <c r="A42" s="20">
        <v>38</v>
      </c>
      <c r="B42" s="165" t="s">
        <v>134</v>
      </c>
      <c r="C42" s="178">
        <v>38</v>
      </c>
      <c r="D42" s="17"/>
      <c r="E42" s="166">
        <v>38</v>
      </c>
      <c r="F42" s="185">
        <f>C42*E42</f>
        <v>1444</v>
      </c>
      <c r="G42" s="51"/>
    </row>
    <row r="43" spans="1:8" ht="15" customHeight="1" x14ac:dyDescent="0.25">
      <c r="A43" s="20">
        <v>39</v>
      </c>
      <c r="B43" s="74" t="s">
        <v>232</v>
      </c>
      <c r="C43" s="125">
        <v>36.31</v>
      </c>
      <c r="D43" s="17"/>
      <c r="E43" s="167">
        <v>0</v>
      </c>
      <c r="F43" s="185">
        <f>C43*E43</f>
        <v>0</v>
      </c>
      <c r="G43" s="6"/>
    </row>
    <row r="44" spans="1:8" ht="15" customHeight="1" x14ac:dyDescent="0.25">
      <c r="A44" s="20">
        <v>40</v>
      </c>
      <c r="B44" s="74" t="s">
        <v>233</v>
      </c>
      <c r="C44" s="178">
        <v>23.7</v>
      </c>
      <c r="D44" s="17"/>
      <c r="E44" s="167">
        <v>0</v>
      </c>
      <c r="F44" s="185"/>
      <c r="G44" s="6"/>
    </row>
    <row r="45" spans="1:8" ht="15" customHeight="1" x14ac:dyDescent="0.25">
      <c r="A45" s="20">
        <v>41</v>
      </c>
      <c r="B45" s="165" t="s">
        <v>234</v>
      </c>
      <c r="C45" s="184"/>
      <c r="D45" s="5" t="s">
        <v>11</v>
      </c>
      <c r="E45" s="166">
        <v>0</v>
      </c>
      <c r="F45" s="185">
        <f t="shared" ref="F45:F54" si="1">C45*E45</f>
        <v>0</v>
      </c>
      <c r="G45" s="51"/>
    </row>
    <row r="46" spans="1:8" ht="15" customHeight="1" x14ac:dyDescent="0.25">
      <c r="A46" s="20">
        <v>42</v>
      </c>
      <c r="B46" s="74" t="s">
        <v>235</v>
      </c>
      <c r="C46" s="124">
        <v>62.14</v>
      </c>
      <c r="D46" s="5" t="s">
        <v>11</v>
      </c>
      <c r="E46" s="167">
        <v>0</v>
      </c>
      <c r="F46" s="185">
        <f t="shared" si="1"/>
        <v>0</v>
      </c>
      <c r="G46" s="6"/>
      <c r="H46" s="104"/>
    </row>
    <row r="47" spans="1:8" ht="15" customHeight="1" x14ac:dyDescent="0.25">
      <c r="A47" s="20">
        <v>43</v>
      </c>
      <c r="B47" s="74" t="s">
        <v>236</v>
      </c>
      <c r="C47" s="124">
        <v>4</v>
      </c>
      <c r="D47" s="17"/>
      <c r="E47" s="167">
        <v>0</v>
      </c>
      <c r="F47" s="185">
        <f t="shared" si="1"/>
        <v>0</v>
      </c>
      <c r="G47" s="6"/>
      <c r="H47" s="104"/>
    </row>
    <row r="48" spans="1:8" ht="15" customHeight="1" x14ac:dyDescent="0.25">
      <c r="A48" s="20">
        <v>44</v>
      </c>
      <c r="B48" s="165" t="s">
        <v>64</v>
      </c>
      <c r="C48" s="124">
        <v>4.8499999999999996</v>
      </c>
      <c r="D48" s="5" t="s">
        <v>11</v>
      </c>
      <c r="E48" s="166">
        <v>15</v>
      </c>
      <c r="F48" s="185">
        <f t="shared" si="1"/>
        <v>72.75</v>
      </c>
      <c r="G48" s="51"/>
      <c r="H48" s="104"/>
    </row>
    <row r="49" spans="1:8" ht="15" customHeight="1" x14ac:dyDescent="0.25">
      <c r="A49" s="20">
        <v>45</v>
      </c>
      <c r="B49" s="74" t="s">
        <v>237</v>
      </c>
      <c r="C49" s="179">
        <v>8.08</v>
      </c>
      <c r="D49" s="5" t="s">
        <v>11</v>
      </c>
      <c r="E49" s="166">
        <v>12</v>
      </c>
      <c r="F49" s="185">
        <f t="shared" si="1"/>
        <v>96.960000000000008</v>
      </c>
      <c r="G49" s="6"/>
      <c r="H49" s="104"/>
    </row>
    <row r="50" spans="1:8" ht="18" customHeight="1" x14ac:dyDescent="0.25">
      <c r="A50" s="20">
        <v>46</v>
      </c>
      <c r="B50" s="74" t="s">
        <v>238</v>
      </c>
      <c r="C50" s="124">
        <v>9</v>
      </c>
      <c r="D50" s="5" t="s">
        <v>11</v>
      </c>
      <c r="E50" s="166">
        <v>15</v>
      </c>
      <c r="F50" s="185">
        <f t="shared" si="1"/>
        <v>135</v>
      </c>
      <c r="G50" s="6"/>
    </row>
    <row r="51" spans="1:8" ht="15.75" customHeight="1" x14ac:dyDescent="0.25">
      <c r="A51" s="20">
        <v>47</v>
      </c>
      <c r="B51" s="74" t="s">
        <v>144</v>
      </c>
      <c r="C51" s="178">
        <v>41.39</v>
      </c>
      <c r="D51" s="5" t="s">
        <v>11</v>
      </c>
      <c r="E51" s="167">
        <v>11</v>
      </c>
      <c r="F51" s="185">
        <f t="shared" si="1"/>
        <v>455.29</v>
      </c>
      <c r="G51" s="6"/>
    </row>
    <row r="52" spans="1:8" ht="15.75" customHeight="1" x14ac:dyDescent="0.25">
      <c r="A52" s="20">
        <v>48</v>
      </c>
      <c r="B52" s="169" t="s">
        <v>251</v>
      </c>
      <c r="C52" s="124">
        <v>148.03</v>
      </c>
      <c r="D52" s="5" t="s">
        <v>11</v>
      </c>
      <c r="E52" s="167">
        <v>0</v>
      </c>
      <c r="F52" s="185">
        <f t="shared" si="1"/>
        <v>0</v>
      </c>
      <c r="G52" s="6"/>
    </row>
    <row r="53" spans="1:8" ht="15.75" customHeight="1" x14ac:dyDescent="0.25">
      <c r="A53" s="20">
        <v>50</v>
      </c>
      <c r="B53" s="292" t="s">
        <v>252</v>
      </c>
      <c r="C53" s="124">
        <v>24.55</v>
      </c>
      <c r="D53" s="5"/>
      <c r="E53" s="167">
        <v>124</v>
      </c>
      <c r="F53" s="185">
        <f t="shared" si="1"/>
        <v>3044.2000000000003</v>
      </c>
      <c r="G53" s="6"/>
    </row>
    <row r="54" spans="1:8" ht="15.75" customHeight="1" x14ac:dyDescent="0.25">
      <c r="A54" s="20">
        <v>51</v>
      </c>
      <c r="B54" s="133" t="s">
        <v>69</v>
      </c>
      <c r="C54" s="178">
        <v>890.46</v>
      </c>
      <c r="D54" s="5" t="s">
        <v>11</v>
      </c>
      <c r="E54" s="166">
        <v>9</v>
      </c>
      <c r="F54" s="185">
        <f t="shared" si="1"/>
        <v>8014.14</v>
      </c>
      <c r="G54" s="6"/>
    </row>
    <row r="55" spans="1:8" ht="15.75" customHeight="1" x14ac:dyDescent="0.25">
      <c r="A55" s="20">
        <v>52</v>
      </c>
      <c r="B55" s="74" t="s">
        <v>253</v>
      </c>
      <c r="C55" s="178">
        <v>355</v>
      </c>
      <c r="D55" s="5" t="s">
        <v>11</v>
      </c>
      <c r="E55" s="167">
        <v>19</v>
      </c>
      <c r="F55" s="185">
        <f>C55*E55</f>
        <v>6745</v>
      </c>
      <c r="G55" s="6"/>
    </row>
    <row r="56" spans="1:8" ht="15.75" customHeight="1" x14ac:dyDescent="0.25">
      <c r="A56" s="20">
        <v>53</v>
      </c>
      <c r="B56" s="74" t="s">
        <v>254</v>
      </c>
      <c r="C56" s="178">
        <v>280.39</v>
      </c>
      <c r="D56" s="5" t="s">
        <v>11</v>
      </c>
      <c r="E56" s="167">
        <v>0</v>
      </c>
      <c r="F56" s="185">
        <f>C56*E56</f>
        <v>0</v>
      </c>
      <c r="G56" s="6"/>
    </row>
    <row r="57" spans="1:8" ht="15.75" customHeight="1" x14ac:dyDescent="0.25">
      <c r="A57" s="20">
        <v>54</v>
      </c>
      <c r="B57" s="74" t="s">
        <v>256</v>
      </c>
      <c r="C57" s="178">
        <v>385</v>
      </c>
      <c r="D57" s="5" t="s">
        <v>11</v>
      </c>
      <c r="E57" s="167">
        <v>0</v>
      </c>
      <c r="F57" s="185">
        <f>C57*E57</f>
        <v>0</v>
      </c>
      <c r="G57" s="6"/>
    </row>
    <row r="58" spans="1:8" ht="15.75" customHeight="1" x14ac:dyDescent="0.25">
      <c r="A58" s="20">
        <v>55</v>
      </c>
      <c r="B58" s="133" t="s">
        <v>73</v>
      </c>
      <c r="C58" s="183">
        <v>311.64999999999998</v>
      </c>
      <c r="D58" s="5" t="s">
        <v>11</v>
      </c>
      <c r="E58" s="166">
        <v>14</v>
      </c>
      <c r="F58" s="185">
        <f>C58*E58</f>
        <v>4363.0999999999995</v>
      </c>
      <c r="G58" s="6"/>
    </row>
    <row r="59" spans="1:8" ht="15.75" customHeight="1" x14ac:dyDescent="0.25">
      <c r="A59" s="121"/>
      <c r="B59" s="87"/>
      <c r="C59" s="147"/>
      <c r="D59" s="85"/>
      <c r="E59" s="148"/>
      <c r="F59" s="157">
        <f>SUM(F5:F58)</f>
        <v>54377.45</v>
      </c>
      <c r="G59" s="149"/>
    </row>
    <row r="60" spans="1:8" x14ac:dyDescent="0.25">
      <c r="A60" s="496"/>
      <c r="B60" s="497"/>
      <c r="C60" s="497"/>
      <c r="D60" s="497"/>
      <c r="E60" s="497"/>
      <c r="F60" s="497"/>
      <c r="G60" s="498"/>
    </row>
    <row r="61" spans="1:8" x14ac:dyDescent="0.25">
      <c r="A61" s="486" t="s">
        <v>303</v>
      </c>
      <c r="B61" s="486"/>
      <c r="C61" s="486"/>
      <c r="D61" s="486"/>
      <c r="E61" s="486"/>
      <c r="F61" s="486"/>
      <c r="G61" s="487"/>
    </row>
    <row r="62" spans="1:8" x14ac:dyDescent="0.25">
      <c r="A62" s="120" t="s">
        <v>3</v>
      </c>
      <c r="B62" s="120" t="s">
        <v>4</v>
      </c>
      <c r="C62" s="120" t="s">
        <v>5</v>
      </c>
      <c r="D62" s="118" t="s">
        <v>6</v>
      </c>
      <c r="E62" s="118" t="s">
        <v>7</v>
      </c>
      <c r="F62" s="118" t="s">
        <v>8</v>
      </c>
      <c r="G62" s="118" t="s">
        <v>9</v>
      </c>
    </row>
    <row r="63" spans="1:8" x14ac:dyDescent="0.25">
      <c r="A63" s="493" t="s">
        <v>75</v>
      </c>
      <c r="B63" s="494"/>
      <c r="C63" s="494"/>
      <c r="D63" s="494"/>
      <c r="E63" s="494"/>
      <c r="F63" s="494"/>
      <c r="G63" s="495"/>
    </row>
    <row r="64" spans="1:8" x14ac:dyDescent="0.25">
      <c r="A64" s="106">
        <v>1</v>
      </c>
      <c r="B64" s="151" t="s">
        <v>258</v>
      </c>
      <c r="C64" s="134">
        <v>44</v>
      </c>
      <c r="D64" s="5" t="s">
        <v>11</v>
      </c>
      <c r="E64" s="152">
        <v>0</v>
      </c>
      <c r="F64" s="182">
        <f>C64*E64</f>
        <v>0</v>
      </c>
      <c r="G64" s="6"/>
    </row>
    <row r="65" spans="1:7" x14ac:dyDescent="0.25">
      <c r="A65" s="106">
        <v>2</v>
      </c>
      <c r="B65" s="151" t="s">
        <v>259</v>
      </c>
      <c r="C65" s="134">
        <v>65</v>
      </c>
      <c r="D65" s="5" t="s">
        <v>11</v>
      </c>
      <c r="E65" s="153">
        <v>0</v>
      </c>
      <c r="F65" s="182">
        <f>C65*E65</f>
        <v>0</v>
      </c>
      <c r="G65" s="6"/>
    </row>
    <row r="66" spans="1:7" x14ac:dyDescent="0.25">
      <c r="A66" s="106">
        <v>3</v>
      </c>
      <c r="B66" s="151" t="s">
        <v>260</v>
      </c>
      <c r="C66" s="134">
        <v>98.7</v>
      </c>
      <c r="D66" s="5" t="s">
        <v>11</v>
      </c>
      <c r="E66" s="153">
        <v>0</v>
      </c>
      <c r="F66" s="182">
        <f>C66*E66</f>
        <v>0</v>
      </c>
      <c r="G66" s="6"/>
    </row>
    <row r="67" spans="1:7" x14ac:dyDescent="0.25">
      <c r="A67" s="106">
        <v>4</v>
      </c>
      <c r="B67" s="151" t="s">
        <v>261</v>
      </c>
      <c r="C67" s="134">
        <v>143.56</v>
      </c>
      <c r="D67" s="5" t="s">
        <v>11</v>
      </c>
      <c r="E67" s="153">
        <v>0</v>
      </c>
      <c r="F67" s="182">
        <f>C67*E67</f>
        <v>0</v>
      </c>
      <c r="G67" s="6"/>
    </row>
    <row r="68" spans="1:7" x14ac:dyDescent="0.25">
      <c r="A68" s="489" t="s">
        <v>163</v>
      </c>
      <c r="B68" s="489"/>
      <c r="C68" s="489"/>
      <c r="D68" s="489"/>
      <c r="E68" s="489"/>
      <c r="F68" s="489"/>
      <c r="G68" s="489"/>
    </row>
    <row r="69" spans="1:7" x14ac:dyDescent="0.25">
      <c r="A69" s="106">
        <v>1</v>
      </c>
      <c r="B69" s="151" t="s">
        <v>258</v>
      </c>
      <c r="C69" s="134">
        <v>44</v>
      </c>
      <c r="D69" s="5" t="s">
        <v>11</v>
      </c>
      <c r="E69" s="152">
        <v>28</v>
      </c>
      <c r="F69" s="182">
        <f>C69*E69</f>
        <v>1232</v>
      </c>
      <c r="G69" s="6"/>
    </row>
    <row r="70" spans="1:7" x14ac:dyDescent="0.25">
      <c r="A70" s="106">
        <v>2</v>
      </c>
      <c r="B70" s="151" t="s">
        <v>259</v>
      </c>
      <c r="C70" s="134">
        <v>65</v>
      </c>
      <c r="D70" s="5" t="s">
        <v>11</v>
      </c>
      <c r="E70" s="152">
        <v>20</v>
      </c>
      <c r="F70" s="182">
        <f>C70*E70</f>
        <v>1300</v>
      </c>
      <c r="G70" s="6"/>
    </row>
    <row r="71" spans="1:7" x14ac:dyDescent="0.25">
      <c r="A71" s="106">
        <v>3</v>
      </c>
      <c r="B71" s="151" t="s">
        <v>260</v>
      </c>
      <c r="C71" s="134">
        <v>98.7</v>
      </c>
      <c r="D71" s="5" t="s">
        <v>11</v>
      </c>
      <c r="E71" s="152">
        <v>11</v>
      </c>
      <c r="F71" s="182">
        <f>C71*E71</f>
        <v>1085.7</v>
      </c>
      <c r="G71" s="6"/>
    </row>
    <row r="72" spans="1:7" x14ac:dyDescent="0.25">
      <c r="A72" s="106">
        <v>4</v>
      </c>
      <c r="B72" s="151" t="s">
        <v>261</v>
      </c>
      <c r="C72" s="134">
        <v>143.56</v>
      </c>
      <c r="D72" s="5" t="s">
        <v>11</v>
      </c>
      <c r="E72" s="155">
        <v>8</v>
      </c>
      <c r="F72" s="182">
        <f>C72*E72</f>
        <v>1148.48</v>
      </c>
      <c r="G72" s="6"/>
    </row>
    <row r="73" spans="1:7" x14ac:dyDescent="0.25">
      <c r="A73" s="88"/>
      <c r="B73" s="87"/>
      <c r="C73" s="89"/>
      <c r="D73" s="154"/>
      <c r="E73" s="148"/>
      <c r="F73" s="156" cm="1">
        <f t="array" ref="F73">SUM(F64:F67+F69:F72)</f>
        <v>4766.18</v>
      </c>
      <c r="G73" s="90"/>
    </row>
  </sheetData>
  <autoFilter ref="A4:G4" xr:uid="{35B1E10B-7D5A-427E-AB33-02C0B4C35BA7}">
    <sortState xmlns:xlrd2="http://schemas.microsoft.com/office/spreadsheetml/2017/richdata2" ref="A5:G42">
      <sortCondition ref="B4"/>
    </sortState>
  </autoFilter>
  <mergeCells count="7">
    <mergeCell ref="A60:G60"/>
    <mergeCell ref="A61:G61"/>
    <mergeCell ref="A63:G63"/>
    <mergeCell ref="A68:G68"/>
    <mergeCell ref="A1:G1"/>
    <mergeCell ref="A2:G2"/>
    <mergeCell ref="A3:G3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3F4D-7388-4FA8-84C0-2E7945C5F3E1}">
  <dimension ref="A1:G74"/>
  <sheetViews>
    <sheetView workbookViewId="0">
      <selection activeCell="E73" sqref="E73"/>
    </sheetView>
  </sheetViews>
  <sheetFormatPr defaultRowHeight="15" x14ac:dyDescent="0.25"/>
  <cols>
    <col min="2" max="2" width="62.7109375" bestFit="1" customWidth="1"/>
    <col min="3" max="3" width="11.28515625" customWidth="1"/>
    <col min="4" max="4" width="4.5703125" bestFit="1" customWidth="1"/>
    <col min="6" max="6" width="12.28515625" customWidth="1"/>
  </cols>
  <sheetData>
    <row r="1" spans="1:7" ht="15.75" x14ac:dyDescent="0.25">
      <c r="A1" s="447" t="s">
        <v>297</v>
      </c>
      <c r="B1" s="447"/>
      <c r="C1" s="447"/>
      <c r="D1" s="447"/>
      <c r="E1" s="447"/>
      <c r="F1" s="447"/>
      <c r="G1" s="447"/>
    </row>
    <row r="2" spans="1:7" ht="15.75" x14ac:dyDescent="0.25">
      <c r="A2" s="447" t="s">
        <v>304</v>
      </c>
      <c r="B2" s="447"/>
      <c r="C2" s="447"/>
      <c r="D2" s="447"/>
      <c r="E2" s="447"/>
      <c r="F2" s="447"/>
      <c r="G2" s="447"/>
    </row>
    <row r="3" spans="1:7" ht="15.75" x14ac:dyDescent="0.25">
      <c r="A3" s="447" t="s">
        <v>299</v>
      </c>
      <c r="B3" s="447"/>
      <c r="C3" s="447"/>
      <c r="D3" s="447"/>
      <c r="E3" s="447"/>
      <c r="F3" s="447"/>
      <c r="G3" s="447"/>
    </row>
    <row r="4" spans="1:7" x14ac:dyDescent="0.25">
      <c r="A4" s="28" t="s">
        <v>3</v>
      </c>
      <c r="B4" s="28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x14ac:dyDescent="0.25">
      <c r="A5" s="20">
        <v>1</v>
      </c>
      <c r="B5" s="165" t="s">
        <v>200</v>
      </c>
      <c r="C5" s="183"/>
      <c r="D5" s="5" t="s">
        <v>11</v>
      </c>
      <c r="E5" s="167">
        <v>0</v>
      </c>
      <c r="F5" s="185">
        <f t="shared" ref="F5:F39" si="0">C5*E5</f>
        <v>0</v>
      </c>
      <c r="G5" s="51"/>
    </row>
    <row r="6" spans="1:7" x14ac:dyDescent="0.25">
      <c r="A6" s="20">
        <v>2</v>
      </c>
      <c r="B6" s="74" t="s">
        <v>10</v>
      </c>
      <c r="C6" s="183">
        <f>'ESTOQUE - SPO'!D6</f>
        <v>126.1</v>
      </c>
      <c r="D6" s="5" t="s">
        <v>11</v>
      </c>
      <c r="E6" s="167">
        <v>25</v>
      </c>
      <c r="F6" s="185">
        <f t="shared" si="0"/>
        <v>3152.5</v>
      </c>
      <c r="G6" s="6"/>
    </row>
    <row r="7" spans="1:7" x14ac:dyDescent="0.25">
      <c r="A7" s="20">
        <v>3</v>
      </c>
      <c r="B7" s="74" t="s">
        <v>201</v>
      </c>
      <c r="C7" s="183">
        <v>69.900000000000006</v>
      </c>
      <c r="D7" s="17">
        <v>38</v>
      </c>
      <c r="E7" s="167">
        <v>0</v>
      </c>
      <c r="F7" s="185">
        <f t="shared" si="0"/>
        <v>0</v>
      </c>
      <c r="G7" s="6"/>
    </row>
    <row r="8" spans="1:7" x14ac:dyDescent="0.25">
      <c r="A8" s="20">
        <v>4</v>
      </c>
      <c r="B8" s="74" t="s">
        <v>202</v>
      </c>
      <c r="C8" s="183">
        <v>69.900000000000006</v>
      </c>
      <c r="D8" s="18">
        <v>39</v>
      </c>
      <c r="E8" s="167">
        <v>0</v>
      </c>
      <c r="F8" s="185">
        <f t="shared" si="0"/>
        <v>0</v>
      </c>
      <c r="G8" s="6"/>
    </row>
    <row r="9" spans="1:7" x14ac:dyDescent="0.25">
      <c r="A9" s="20">
        <v>5</v>
      </c>
      <c r="B9" s="74" t="s">
        <v>203</v>
      </c>
      <c r="C9" s="183">
        <v>69.900000000000006</v>
      </c>
      <c r="D9" s="16">
        <v>40</v>
      </c>
      <c r="E9" s="167">
        <v>0</v>
      </c>
      <c r="F9" s="185">
        <f t="shared" si="0"/>
        <v>0</v>
      </c>
      <c r="G9" s="6"/>
    </row>
    <row r="10" spans="1:7" x14ac:dyDescent="0.25">
      <c r="A10" s="20">
        <v>6</v>
      </c>
      <c r="B10" s="74" t="s">
        <v>204</v>
      </c>
      <c r="C10" s="183">
        <v>69.900000000000006</v>
      </c>
      <c r="D10" s="17">
        <v>41</v>
      </c>
      <c r="E10" s="167">
        <v>0</v>
      </c>
      <c r="F10" s="185">
        <f t="shared" si="0"/>
        <v>0</v>
      </c>
      <c r="G10" s="6"/>
    </row>
    <row r="11" spans="1:7" x14ac:dyDescent="0.25">
      <c r="A11" s="20">
        <v>7</v>
      </c>
      <c r="B11" s="74" t="s">
        <v>205</v>
      </c>
      <c r="C11" s="183">
        <v>69.900000000000006</v>
      </c>
      <c r="D11" s="17">
        <v>42</v>
      </c>
      <c r="E11" s="167">
        <v>0</v>
      </c>
      <c r="F11" s="185">
        <f t="shared" si="0"/>
        <v>0</v>
      </c>
      <c r="G11" s="6"/>
    </row>
    <row r="12" spans="1:7" x14ac:dyDescent="0.25">
      <c r="A12" s="20">
        <v>8</v>
      </c>
      <c r="B12" s="74" t="s">
        <v>206</v>
      </c>
      <c r="C12" s="178">
        <v>104.29</v>
      </c>
      <c r="D12" s="18">
        <v>33</v>
      </c>
      <c r="E12" s="167">
        <v>0</v>
      </c>
      <c r="F12" s="185">
        <f t="shared" si="0"/>
        <v>0</v>
      </c>
      <c r="G12" s="6"/>
    </row>
    <row r="13" spans="1:7" x14ac:dyDescent="0.25">
      <c r="A13" s="20">
        <v>9</v>
      </c>
      <c r="B13" s="74" t="s">
        <v>207</v>
      </c>
      <c r="C13" s="178">
        <v>104.29</v>
      </c>
      <c r="D13" s="18">
        <v>32</v>
      </c>
      <c r="E13" s="167">
        <v>0</v>
      </c>
      <c r="F13" s="185">
        <f t="shared" si="0"/>
        <v>0</v>
      </c>
      <c r="G13" s="6"/>
    </row>
    <row r="14" spans="1:7" x14ac:dyDescent="0.25">
      <c r="A14" s="20">
        <v>10</v>
      </c>
      <c r="B14" s="74" t="s">
        <v>208</v>
      </c>
      <c r="C14" s="178">
        <v>104.29</v>
      </c>
      <c r="D14" s="18">
        <v>35</v>
      </c>
      <c r="E14" s="167">
        <v>0</v>
      </c>
      <c r="F14" s="185">
        <f t="shared" si="0"/>
        <v>0</v>
      </c>
      <c r="G14" s="6"/>
    </row>
    <row r="15" spans="1:7" x14ac:dyDescent="0.25">
      <c r="A15" s="20">
        <v>11</v>
      </c>
      <c r="B15" s="74" t="s">
        <v>209</v>
      </c>
      <c r="C15" s="178">
        <v>104.29</v>
      </c>
      <c r="D15" s="18">
        <v>36</v>
      </c>
      <c r="E15" s="167">
        <v>5</v>
      </c>
      <c r="F15" s="185">
        <f t="shared" si="0"/>
        <v>521.45000000000005</v>
      </c>
      <c r="G15" s="6"/>
    </row>
    <row r="16" spans="1:7" x14ac:dyDescent="0.25">
      <c r="A16" s="20">
        <v>12</v>
      </c>
      <c r="B16" s="74" t="s">
        <v>210</v>
      </c>
      <c r="C16" s="178">
        <v>104.29</v>
      </c>
      <c r="D16" s="18">
        <v>37</v>
      </c>
      <c r="E16" s="167">
        <v>10</v>
      </c>
      <c r="F16" s="185">
        <f t="shared" si="0"/>
        <v>1042.9000000000001</v>
      </c>
      <c r="G16" s="6"/>
    </row>
    <row r="17" spans="1:7" x14ac:dyDescent="0.25">
      <c r="A17" s="20">
        <v>13</v>
      </c>
      <c r="B17" s="74" t="s">
        <v>211</v>
      </c>
      <c r="C17" s="178">
        <v>104.29</v>
      </c>
      <c r="D17" s="18">
        <v>38</v>
      </c>
      <c r="E17" s="167">
        <v>10</v>
      </c>
      <c r="F17" s="185">
        <f t="shared" si="0"/>
        <v>1042.9000000000001</v>
      </c>
      <c r="G17" s="6"/>
    </row>
    <row r="18" spans="1:7" x14ac:dyDescent="0.25">
      <c r="A18" s="20">
        <v>14</v>
      </c>
      <c r="B18" s="74" t="s">
        <v>212</v>
      </c>
      <c r="C18" s="178">
        <v>104.29</v>
      </c>
      <c r="D18" s="18">
        <v>39</v>
      </c>
      <c r="E18" s="167">
        <v>11</v>
      </c>
      <c r="F18" s="185">
        <f t="shared" si="0"/>
        <v>1147.19</v>
      </c>
      <c r="G18" s="6"/>
    </row>
    <row r="19" spans="1:7" x14ac:dyDescent="0.25">
      <c r="A19" s="20">
        <v>15</v>
      </c>
      <c r="B19" s="74" t="s">
        <v>213</v>
      </c>
      <c r="C19" s="178">
        <v>104.29</v>
      </c>
      <c r="D19" s="18">
        <v>40</v>
      </c>
      <c r="E19" s="167">
        <v>11</v>
      </c>
      <c r="F19" s="185">
        <f t="shared" si="0"/>
        <v>1147.19</v>
      </c>
      <c r="G19" s="6"/>
    </row>
    <row r="20" spans="1:7" x14ac:dyDescent="0.25">
      <c r="A20" s="20">
        <v>16</v>
      </c>
      <c r="B20" s="74" t="s">
        <v>214</v>
      </c>
      <c r="C20" s="178">
        <v>104.29</v>
      </c>
      <c r="D20" s="16">
        <v>41</v>
      </c>
      <c r="E20" s="167">
        <v>11</v>
      </c>
      <c r="F20" s="185">
        <f t="shared" si="0"/>
        <v>1147.19</v>
      </c>
      <c r="G20" s="6"/>
    </row>
    <row r="21" spans="1:7" x14ac:dyDescent="0.25">
      <c r="A21" s="20">
        <v>17</v>
      </c>
      <c r="B21" s="74" t="s">
        <v>215</v>
      </c>
      <c r="C21" s="178">
        <v>104.29</v>
      </c>
      <c r="D21" s="18">
        <v>42</v>
      </c>
      <c r="E21" s="167">
        <v>11</v>
      </c>
      <c r="F21" s="185">
        <f t="shared" si="0"/>
        <v>1147.19</v>
      </c>
      <c r="G21" s="6"/>
    </row>
    <row r="22" spans="1:7" x14ac:dyDescent="0.25">
      <c r="A22" s="20">
        <v>18</v>
      </c>
      <c r="B22" s="74" t="s">
        <v>216</v>
      </c>
      <c r="C22" s="178">
        <v>104.29</v>
      </c>
      <c r="D22" s="18">
        <v>43</v>
      </c>
      <c r="E22" s="167">
        <v>6</v>
      </c>
      <c r="F22" s="185">
        <f t="shared" si="0"/>
        <v>625.74</v>
      </c>
      <c r="G22" s="6"/>
    </row>
    <row r="23" spans="1:7" x14ac:dyDescent="0.25">
      <c r="A23" s="20">
        <v>19</v>
      </c>
      <c r="B23" s="165" t="s">
        <v>217</v>
      </c>
      <c r="C23" s="178">
        <v>104.29</v>
      </c>
      <c r="D23" s="17">
        <v>44</v>
      </c>
      <c r="E23" s="167">
        <v>6</v>
      </c>
      <c r="F23" s="185">
        <f t="shared" si="0"/>
        <v>625.74</v>
      </c>
      <c r="G23" s="51"/>
    </row>
    <row r="24" spans="1:7" x14ac:dyDescent="0.25">
      <c r="A24" s="20">
        <v>20</v>
      </c>
      <c r="B24" s="74" t="s">
        <v>218</v>
      </c>
      <c r="C24" s="178">
        <v>104.29</v>
      </c>
      <c r="D24" s="16">
        <v>45</v>
      </c>
      <c r="E24" s="167">
        <v>2</v>
      </c>
      <c r="F24" s="185">
        <f t="shared" si="0"/>
        <v>208.58</v>
      </c>
      <c r="G24" s="6"/>
    </row>
    <row r="25" spans="1:7" x14ac:dyDescent="0.25">
      <c r="A25" s="20">
        <v>21</v>
      </c>
      <c r="B25" s="74" t="s">
        <v>219</v>
      </c>
      <c r="C25" s="178">
        <v>104.29</v>
      </c>
      <c r="D25" s="16">
        <v>46</v>
      </c>
      <c r="E25" s="167">
        <v>0</v>
      </c>
      <c r="F25" s="185">
        <f t="shared" si="0"/>
        <v>0</v>
      </c>
      <c r="G25" s="6"/>
    </row>
    <row r="26" spans="1:7" x14ac:dyDescent="0.25">
      <c r="A26" s="20">
        <v>22</v>
      </c>
      <c r="B26" s="74" t="s">
        <v>220</v>
      </c>
      <c r="C26" s="178">
        <v>104.29</v>
      </c>
      <c r="D26" s="16">
        <v>48</v>
      </c>
      <c r="E26" s="167">
        <v>0</v>
      </c>
      <c r="F26" s="185">
        <f t="shared" si="0"/>
        <v>0</v>
      </c>
      <c r="G26" s="6"/>
    </row>
    <row r="27" spans="1:7" x14ac:dyDescent="0.25">
      <c r="A27" s="20">
        <v>23</v>
      </c>
      <c r="B27" s="165" t="s">
        <v>221</v>
      </c>
      <c r="C27" s="178">
        <v>40</v>
      </c>
      <c r="D27" s="17"/>
      <c r="E27" s="167">
        <v>12</v>
      </c>
      <c r="F27" s="185">
        <f t="shared" si="0"/>
        <v>480</v>
      </c>
      <c r="G27" s="51"/>
    </row>
    <row r="28" spans="1:7" x14ac:dyDescent="0.25">
      <c r="A28" s="20">
        <v>24</v>
      </c>
      <c r="B28" s="74" t="s">
        <v>222</v>
      </c>
      <c r="C28" s="178">
        <v>180.93</v>
      </c>
      <c r="D28" s="5" t="s">
        <v>11</v>
      </c>
      <c r="E28" s="167">
        <v>0</v>
      </c>
      <c r="F28" s="185">
        <f t="shared" si="0"/>
        <v>0</v>
      </c>
      <c r="G28" s="6"/>
    </row>
    <row r="29" spans="1:7" x14ac:dyDescent="0.25">
      <c r="A29" s="20">
        <v>25</v>
      </c>
      <c r="B29" s="165" t="s">
        <v>122</v>
      </c>
      <c r="C29" s="178">
        <v>75</v>
      </c>
      <c r="D29" s="5" t="s">
        <v>11</v>
      </c>
      <c r="E29" s="167">
        <v>15</v>
      </c>
      <c r="F29" s="185">
        <f t="shared" si="0"/>
        <v>1125</v>
      </c>
      <c r="G29" s="51"/>
    </row>
    <row r="30" spans="1:7" x14ac:dyDescent="0.25">
      <c r="A30" s="20">
        <v>26</v>
      </c>
      <c r="B30" s="74" t="s">
        <v>223</v>
      </c>
      <c r="C30" s="113">
        <v>48.25</v>
      </c>
      <c r="D30" s="5" t="s">
        <v>11</v>
      </c>
      <c r="E30" s="167">
        <v>50</v>
      </c>
      <c r="F30" s="185">
        <f t="shared" si="0"/>
        <v>2412.5</v>
      </c>
      <c r="G30" s="17"/>
    </row>
    <row r="31" spans="1:7" x14ac:dyDescent="0.25">
      <c r="A31" s="20">
        <v>27</v>
      </c>
      <c r="B31" s="138" t="s">
        <v>40</v>
      </c>
      <c r="C31" s="178">
        <v>87.97</v>
      </c>
      <c r="D31" s="5" t="s">
        <v>11</v>
      </c>
      <c r="E31" s="167">
        <v>30</v>
      </c>
      <c r="F31" s="185">
        <f t="shared" si="0"/>
        <v>2639.1</v>
      </c>
      <c r="G31" s="55"/>
    </row>
    <row r="32" spans="1:7" x14ac:dyDescent="0.25">
      <c r="A32" s="20">
        <v>28</v>
      </c>
      <c r="B32" s="74" t="s">
        <v>224</v>
      </c>
      <c r="C32" s="113">
        <v>584.20000000000005</v>
      </c>
      <c r="D32" s="5" t="s">
        <v>11</v>
      </c>
      <c r="E32" s="167">
        <v>20</v>
      </c>
      <c r="F32" s="185">
        <f t="shared" si="0"/>
        <v>11684</v>
      </c>
      <c r="G32" s="27"/>
    </row>
    <row r="33" spans="1:7" x14ac:dyDescent="0.25">
      <c r="A33" s="20">
        <v>29</v>
      </c>
      <c r="B33" s="165" t="s">
        <v>225</v>
      </c>
      <c r="C33" s="178">
        <v>21</v>
      </c>
      <c r="D33" s="5" t="s">
        <v>11</v>
      </c>
      <c r="E33" s="167">
        <v>33</v>
      </c>
      <c r="F33" s="185">
        <f t="shared" si="0"/>
        <v>693</v>
      </c>
      <c r="G33" s="51"/>
    </row>
    <row r="34" spans="1:7" x14ac:dyDescent="0.25">
      <c r="A34" s="20">
        <v>30</v>
      </c>
      <c r="B34" s="74" t="s">
        <v>226</v>
      </c>
      <c r="C34" s="178">
        <v>39</v>
      </c>
      <c r="D34" s="5" t="s">
        <v>11</v>
      </c>
      <c r="E34" s="167">
        <v>10</v>
      </c>
      <c r="F34" s="185">
        <f t="shared" si="0"/>
        <v>390</v>
      </c>
      <c r="G34" s="6"/>
    </row>
    <row r="35" spans="1:7" x14ac:dyDescent="0.25">
      <c r="A35" s="20">
        <v>31</v>
      </c>
      <c r="B35" s="74" t="s">
        <v>227</v>
      </c>
      <c r="C35" s="183">
        <v>81.83</v>
      </c>
      <c r="D35" s="5" t="s">
        <v>11</v>
      </c>
      <c r="E35" s="167">
        <v>0</v>
      </c>
      <c r="F35" s="185">
        <f t="shared" si="0"/>
        <v>0</v>
      </c>
      <c r="G35" s="6"/>
    </row>
    <row r="36" spans="1:7" x14ac:dyDescent="0.25">
      <c r="A36" s="20">
        <v>32</v>
      </c>
      <c r="B36" s="74" t="s">
        <v>228</v>
      </c>
      <c r="C36" s="178">
        <v>28.94</v>
      </c>
      <c r="D36" s="5" t="s">
        <v>11</v>
      </c>
      <c r="E36" s="167">
        <v>50</v>
      </c>
      <c r="F36" s="185">
        <f t="shared" si="0"/>
        <v>1447</v>
      </c>
      <c r="G36" s="6"/>
    </row>
    <row r="37" spans="1:7" x14ac:dyDescent="0.25">
      <c r="A37" s="20">
        <v>33</v>
      </c>
      <c r="B37" s="165" t="s">
        <v>229</v>
      </c>
      <c r="C37" s="178">
        <v>8.6300000000000008</v>
      </c>
      <c r="D37" s="5" t="s">
        <v>11</v>
      </c>
      <c r="E37" s="167">
        <v>30</v>
      </c>
      <c r="F37" s="185">
        <f t="shared" si="0"/>
        <v>258.90000000000003</v>
      </c>
      <c r="G37" s="51"/>
    </row>
    <row r="38" spans="1:7" x14ac:dyDescent="0.25">
      <c r="A38" s="20">
        <v>34</v>
      </c>
      <c r="B38" s="74" t="s">
        <v>305</v>
      </c>
      <c r="C38" s="178">
        <v>267.69</v>
      </c>
      <c r="D38" s="17"/>
      <c r="E38" s="167">
        <v>0</v>
      </c>
      <c r="F38" s="185">
        <f t="shared" si="0"/>
        <v>0</v>
      </c>
      <c r="G38" s="6"/>
    </row>
    <row r="39" spans="1:7" x14ac:dyDescent="0.25">
      <c r="A39" s="20">
        <v>35</v>
      </c>
      <c r="B39" s="74" t="s">
        <v>306</v>
      </c>
      <c r="C39" s="178">
        <v>267.69</v>
      </c>
      <c r="D39" s="17"/>
      <c r="E39" s="167">
        <v>0</v>
      </c>
      <c r="F39" s="185">
        <f t="shared" si="0"/>
        <v>0</v>
      </c>
      <c r="G39" s="6"/>
    </row>
    <row r="40" spans="1:7" x14ac:dyDescent="0.25">
      <c r="A40" s="20">
        <v>36</v>
      </c>
      <c r="B40" s="74" t="s">
        <v>307</v>
      </c>
      <c r="C40" s="178">
        <v>9.8000000000000007</v>
      </c>
      <c r="D40" s="17"/>
      <c r="E40" s="167">
        <v>0</v>
      </c>
      <c r="F40" s="185">
        <f>C41*E40</f>
        <v>0</v>
      </c>
      <c r="G40" s="6"/>
    </row>
    <row r="41" spans="1:7" x14ac:dyDescent="0.25">
      <c r="A41" s="20">
        <v>37</v>
      </c>
      <c r="B41" s="165" t="s">
        <v>95</v>
      </c>
      <c r="C41" s="178">
        <v>30.66</v>
      </c>
      <c r="D41" s="17"/>
      <c r="E41" s="167">
        <v>19</v>
      </c>
      <c r="F41" s="185">
        <f>C42*E41</f>
        <v>722</v>
      </c>
      <c r="G41" s="6"/>
    </row>
    <row r="42" spans="1:7" x14ac:dyDescent="0.25">
      <c r="A42" s="20">
        <v>38</v>
      </c>
      <c r="B42" s="165" t="s">
        <v>134</v>
      </c>
      <c r="C42" s="178">
        <v>38</v>
      </c>
      <c r="D42" s="17"/>
      <c r="E42" s="167">
        <v>23</v>
      </c>
      <c r="F42" s="185">
        <f>C42*E42</f>
        <v>874</v>
      </c>
      <c r="G42" s="51"/>
    </row>
    <row r="43" spans="1:7" x14ac:dyDescent="0.25">
      <c r="A43" s="20">
        <v>39</v>
      </c>
      <c r="B43" s="74" t="s">
        <v>232</v>
      </c>
      <c r="C43" s="125">
        <v>36.31</v>
      </c>
      <c r="D43" s="17"/>
      <c r="E43" s="167">
        <v>0</v>
      </c>
      <c r="F43" s="185">
        <f>C43*E43</f>
        <v>0</v>
      </c>
      <c r="G43" s="6"/>
    </row>
    <row r="44" spans="1:7" x14ac:dyDescent="0.25">
      <c r="A44" s="20">
        <v>40</v>
      </c>
      <c r="B44" s="74" t="s">
        <v>233</v>
      </c>
      <c r="C44" s="178">
        <v>23.7</v>
      </c>
      <c r="D44" s="17"/>
      <c r="E44" s="167">
        <v>0</v>
      </c>
      <c r="F44" s="185"/>
      <c r="G44" s="6"/>
    </row>
    <row r="45" spans="1:7" x14ac:dyDescent="0.25">
      <c r="A45" s="20">
        <v>41</v>
      </c>
      <c r="B45" s="165" t="s">
        <v>234</v>
      </c>
      <c r="C45" s="184"/>
      <c r="D45" s="5" t="s">
        <v>11</v>
      </c>
      <c r="E45" s="167">
        <v>0</v>
      </c>
      <c r="F45" s="185">
        <f t="shared" ref="F45:F58" si="1">C45*E45</f>
        <v>0</v>
      </c>
      <c r="G45" s="51"/>
    </row>
    <row r="46" spans="1:7" x14ac:dyDescent="0.25">
      <c r="A46" s="20">
        <v>42</v>
      </c>
      <c r="B46" s="74" t="s">
        <v>235</v>
      </c>
      <c r="C46" s="124">
        <v>62.14</v>
      </c>
      <c r="D46" s="5" t="s">
        <v>11</v>
      </c>
      <c r="E46" s="167">
        <v>0</v>
      </c>
      <c r="F46" s="185">
        <f t="shared" si="1"/>
        <v>0</v>
      </c>
      <c r="G46" s="6"/>
    </row>
    <row r="47" spans="1:7" x14ac:dyDescent="0.25">
      <c r="A47" s="20">
        <v>43</v>
      </c>
      <c r="B47" s="74" t="s">
        <v>236</v>
      </c>
      <c r="C47" s="124">
        <v>4</v>
      </c>
      <c r="D47" s="17"/>
      <c r="E47" s="167">
        <v>35</v>
      </c>
      <c r="F47" s="185">
        <f t="shared" si="1"/>
        <v>140</v>
      </c>
      <c r="G47" s="6"/>
    </row>
    <row r="48" spans="1:7" x14ac:dyDescent="0.25">
      <c r="A48" s="20">
        <v>44</v>
      </c>
      <c r="B48" s="165" t="s">
        <v>64</v>
      </c>
      <c r="C48" s="124">
        <v>4.8499999999999996</v>
      </c>
      <c r="D48" s="5" t="s">
        <v>11</v>
      </c>
      <c r="E48" s="167">
        <v>35</v>
      </c>
      <c r="F48" s="185">
        <f t="shared" si="1"/>
        <v>169.75</v>
      </c>
      <c r="G48" s="51"/>
    </row>
    <row r="49" spans="1:7" x14ac:dyDescent="0.25">
      <c r="A49" s="20">
        <v>45</v>
      </c>
      <c r="B49" s="74" t="s">
        <v>237</v>
      </c>
      <c r="C49" s="179">
        <v>8.08</v>
      </c>
      <c r="D49" s="5" t="s">
        <v>11</v>
      </c>
      <c r="E49" s="167">
        <v>0</v>
      </c>
      <c r="F49" s="185">
        <f t="shared" si="1"/>
        <v>0</v>
      </c>
      <c r="G49" s="6"/>
    </row>
    <row r="50" spans="1:7" x14ac:dyDescent="0.25">
      <c r="A50" s="20">
        <v>46</v>
      </c>
      <c r="B50" s="74" t="s">
        <v>238</v>
      </c>
      <c r="C50" s="124">
        <v>9</v>
      </c>
      <c r="D50" s="5" t="s">
        <v>11</v>
      </c>
      <c r="E50" s="167">
        <v>0</v>
      </c>
      <c r="F50" s="185">
        <f t="shared" si="1"/>
        <v>0</v>
      </c>
      <c r="G50" s="6"/>
    </row>
    <row r="51" spans="1:7" x14ac:dyDescent="0.25">
      <c r="A51" s="20">
        <v>47</v>
      </c>
      <c r="B51" s="74" t="s">
        <v>144</v>
      </c>
      <c r="C51" s="178">
        <v>41.39</v>
      </c>
      <c r="D51" s="5" t="s">
        <v>11</v>
      </c>
      <c r="E51" s="167">
        <v>30</v>
      </c>
      <c r="F51" s="185">
        <f t="shared" si="1"/>
        <v>1241.7</v>
      </c>
      <c r="G51" s="6"/>
    </row>
    <row r="52" spans="1:7" x14ac:dyDescent="0.25">
      <c r="A52" s="20">
        <v>48</v>
      </c>
      <c r="B52" s="169" t="s">
        <v>251</v>
      </c>
      <c r="C52" s="124">
        <v>148.03</v>
      </c>
      <c r="D52" s="5" t="s">
        <v>11</v>
      </c>
      <c r="E52" s="167">
        <v>0</v>
      </c>
      <c r="F52" s="185">
        <f t="shared" si="1"/>
        <v>0</v>
      </c>
      <c r="G52" s="6"/>
    </row>
    <row r="53" spans="1:7" x14ac:dyDescent="0.25">
      <c r="A53" s="20">
        <v>50</v>
      </c>
      <c r="B53" s="292" t="s">
        <v>252</v>
      </c>
      <c r="C53" s="124">
        <v>24.55</v>
      </c>
      <c r="D53" s="5"/>
      <c r="E53" s="167">
        <v>0</v>
      </c>
      <c r="F53" s="185">
        <f t="shared" si="1"/>
        <v>0</v>
      </c>
      <c r="G53" s="6"/>
    </row>
    <row r="54" spans="1:7" x14ac:dyDescent="0.25">
      <c r="A54" s="20">
        <v>51</v>
      </c>
      <c r="B54" s="133" t="s">
        <v>69</v>
      </c>
      <c r="C54" s="178">
        <v>890.46</v>
      </c>
      <c r="D54" s="5" t="s">
        <v>11</v>
      </c>
      <c r="E54" s="167">
        <v>23</v>
      </c>
      <c r="F54" s="185">
        <f t="shared" si="1"/>
        <v>20480.580000000002</v>
      </c>
      <c r="G54" s="6"/>
    </row>
    <row r="55" spans="1:7" x14ac:dyDescent="0.25">
      <c r="A55" s="20">
        <v>52</v>
      </c>
      <c r="B55" s="74" t="s">
        <v>253</v>
      </c>
      <c r="C55" s="178">
        <v>355</v>
      </c>
      <c r="D55" s="5" t="s">
        <v>11</v>
      </c>
      <c r="E55" s="167">
        <v>23</v>
      </c>
      <c r="F55" s="185">
        <f t="shared" si="1"/>
        <v>8165</v>
      </c>
      <c r="G55" s="6"/>
    </row>
    <row r="56" spans="1:7" x14ac:dyDescent="0.25">
      <c r="A56" s="20">
        <v>53</v>
      </c>
      <c r="B56" s="74" t="s">
        <v>254</v>
      </c>
      <c r="C56" s="178">
        <v>280.39</v>
      </c>
      <c r="D56" s="5" t="s">
        <v>11</v>
      </c>
      <c r="E56" s="167">
        <v>0</v>
      </c>
      <c r="F56" s="185">
        <f t="shared" si="1"/>
        <v>0</v>
      </c>
      <c r="G56" s="6"/>
    </row>
    <row r="57" spans="1:7" x14ac:dyDescent="0.25">
      <c r="A57" s="20">
        <v>54</v>
      </c>
      <c r="B57" s="74" t="s">
        <v>256</v>
      </c>
      <c r="C57" s="178">
        <v>385</v>
      </c>
      <c r="D57" s="5" t="s">
        <v>11</v>
      </c>
      <c r="E57" s="167">
        <v>0</v>
      </c>
      <c r="F57" s="185">
        <f t="shared" si="1"/>
        <v>0</v>
      </c>
      <c r="G57" s="6"/>
    </row>
    <row r="58" spans="1:7" x14ac:dyDescent="0.25">
      <c r="A58" s="20">
        <v>55</v>
      </c>
      <c r="B58" s="133" t="s">
        <v>73</v>
      </c>
      <c r="C58" s="183">
        <v>311.64999999999998</v>
      </c>
      <c r="D58" s="5" t="s">
        <v>11</v>
      </c>
      <c r="E58" s="167">
        <v>23</v>
      </c>
      <c r="F58" s="185">
        <f t="shared" si="1"/>
        <v>7167.95</v>
      </c>
      <c r="G58" s="6"/>
    </row>
    <row r="59" spans="1:7" x14ac:dyDescent="0.25">
      <c r="A59" s="20"/>
      <c r="B59" s="133"/>
      <c r="C59" s="183"/>
      <c r="D59" s="5"/>
      <c r="E59" s="166"/>
      <c r="F59" s="185"/>
      <c r="G59" s="6"/>
    </row>
    <row r="60" spans="1:7" x14ac:dyDescent="0.25">
      <c r="A60" s="121"/>
      <c r="B60" s="87"/>
      <c r="C60" s="147"/>
      <c r="D60" s="85"/>
      <c r="E60" s="148"/>
      <c r="F60" s="157">
        <f>SUM(F5:F58)</f>
        <v>71899.05</v>
      </c>
      <c r="G60" s="149"/>
    </row>
    <row r="61" spans="1:7" x14ac:dyDescent="0.25">
      <c r="A61" s="496"/>
      <c r="B61" s="497"/>
      <c r="C61" s="497"/>
      <c r="D61" s="497"/>
      <c r="E61" s="497"/>
      <c r="F61" s="497"/>
      <c r="G61" s="498"/>
    </row>
    <row r="62" spans="1:7" x14ac:dyDescent="0.25">
      <c r="A62" s="486" t="s">
        <v>308</v>
      </c>
      <c r="B62" s="486"/>
      <c r="C62" s="486"/>
      <c r="D62" s="486"/>
      <c r="E62" s="486"/>
      <c r="F62" s="486"/>
      <c r="G62" s="487"/>
    </row>
    <row r="63" spans="1:7" x14ac:dyDescent="0.25">
      <c r="A63" s="120" t="s">
        <v>3</v>
      </c>
      <c r="B63" s="120" t="s">
        <v>4</v>
      </c>
      <c r="C63" s="120" t="s">
        <v>5</v>
      </c>
      <c r="D63" s="118" t="s">
        <v>6</v>
      </c>
      <c r="E63" s="118" t="s">
        <v>7</v>
      </c>
      <c r="F63" s="118" t="s">
        <v>8</v>
      </c>
      <c r="G63" s="118" t="s">
        <v>9</v>
      </c>
    </row>
    <row r="64" spans="1:7" x14ac:dyDescent="0.25">
      <c r="A64" s="493" t="s">
        <v>75</v>
      </c>
      <c r="B64" s="494"/>
      <c r="C64" s="494"/>
      <c r="D64" s="494"/>
      <c r="E64" s="494"/>
      <c r="F64" s="494"/>
      <c r="G64" s="495"/>
    </row>
    <row r="65" spans="1:7" x14ac:dyDescent="0.25">
      <c r="A65" s="106">
        <v>1</v>
      </c>
      <c r="B65" s="151" t="s">
        <v>258</v>
      </c>
      <c r="C65" s="134">
        <v>44</v>
      </c>
      <c r="D65" s="5" t="s">
        <v>11</v>
      </c>
      <c r="E65" s="152">
        <v>0</v>
      </c>
      <c r="F65" s="182">
        <f>C65*E65</f>
        <v>0</v>
      </c>
      <c r="G65" s="6"/>
    </row>
    <row r="66" spans="1:7" x14ac:dyDescent="0.25">
      <c r="A66" s="106">
        <v>2</v>
      </c>
      <c r="B66" s="151" t="s">
        <v>259</v>
      </c>
      <c r="C66" s="134">
        <v>65</v>
      </c>
      <c r="D66" s="5" t="s">
        <v>11</v>
      </c>
      <c r="E66" s="153">
        <v>0</v>
      </c>
      <c r="F66" s="182">
        <f>C66*E66</f>
        <v>0</v>
      </c>
      <c r="G66" s="6"/>
    </row>
    <row r="67" spans="1:7" x14ac:dyDescent="0.25">
      <c r="A67" s="106">
        <v>3</v>
      </c>
      <c r="B67" s="151" t="s">
        <v>260</v>
      </c>
      <c r="C67" s="134">
        <v>98.7</v>
      </c>
      <c r="D67" s="5" t="s">
        <v>11</v>
      </c>
      <c r="E67" s="153">
        <v>0</v>
      </c>
      <c r="F67" s="182">
        <f>C67*E67</f>
        <v>0</v>
      </c>
      <c r="G67" s="6"/>
    </row>
    <row r="68" spans="1:7" x14ac:dyDescent="0.25">
      <c r="A68" s="106">
        <v>4</v>
      </c>
      <c r="B68" s="151" t="s">
        <v>261</v>
      </c>
      <c r="C68" s="134">
        <v>143.56</v>
      </c>
      <c r="D68" s="5" t="s">
        <v>11</v>
      </c>
      <c r="E68" s="153">
        <v>0</v>
      </c>
      <c r="F68" s="182">
        <f>C68*E68</f>
        <v>0</v>
      </c>
      <c r="G68" s="6"/>
    </row>
    <row r="69" spans="1:7" x14ac:dyDescent="0.25">
      <c r="A69" s="489" t="s">
        <v>163</v>
      </c>
      <c r="B69" s="489"/>
      <c r="C69" s="489"/>
      <c r="D69" s="489"/>
      <c r="E69" s="489"/>
      <c r="F69" s="489"/>
      <c r="G69" s="489"/>
    </row>
    <row r="70" spans="1:7" x14ac:dyDescent="0.25">
      <c r="A70" s="106">
        <v>1</v>
      </c>
      <c r="B70" s="151" t="s">
        <v>258</v>
      </c>
      <c r="C70" s="134">
        <v>44</v>
      </c>
      <c r="D70" s="5" t="s">
        <v>11</v>
      </c>
      <c r="E70" s="74">
        <v>32</v>
      </c>
      <c r="F70" s="182">
        <f>C70*E70</f>
        <v>1408</v>
      </c>
      <c r="G70" s="6"/>
    </row>
    <row r="71" spans="1:7" x14ac:dyDescent="0.25">
      <c r="A71" s="106">
        <v>2</v>
      </c>
      <c r="B71" s="151" t="s">
        <v>259</v>
      </c>
      <c r="C71" s="134">
        <v>65</v>
      </c>
      <c r="D71" s="5" t="s">
        <v>11</v>
      </c>
      <c r="E71" s="291">
        <v>40</v>
      </c>
      <c r="F71" s="182">
        <f>C71*E71</f>
        <v>2600</v>
      </c>
      <c r="G71" s="6"/>
    </row>
    <row r="72" spans="1:7" x14ac:dyDescent="0.25">
      <c r="A72" s="106">
        <v>3</v>
      </c>
      <c r="B72" s="151" t="s">
        <v>260</v>
      </c>
      <c r="C72" s="134">
        <v>98.7</v>
      </c>
      <c r="D72" s="5" t="s">
        <v>11</v>
      </c>
      <c r="E72" s="291">
        <v>40</v>
      </c>
      <c r="F72" s="182">
        <f>C72*E72</f>
        <v>3948</v>
      </c>
      <c r="G72" s="6"/>
    </row>
    <row r="73" spans="1:7" x14ac:dyDescent="0.25">
      <c r="A73" s="106">
        <v>4</v>
      </c>
      <c r="B73" s="151" t="s">
        <v>261</v>
      </c>
      <c r="C73" s="134">
        <v>143.56</v>
      </c>
      <c r="D73" s="5" t="s">
        <v>11</v>
      </c>
      <c r="E73" s="291">
        <v>10</v>
      </c>
      <c r="F73" s="182">
        <f>C73*E73</f>
        <v>1435.6</v>
      </c>
      <c r="G73" s="6"/>
    </row>
    <row r="74" spans="1:7" x14ac:dyDescent="0.25">
      <c r="A74" s="88"/>
      <c r="B74" s="87"/>
      <c r="C74" s="89"/>
      <c r="D74" s="154"/>
      <c r="E74" s="148"/>
      <c r="F74" s="156" cm="1">
        <f t="array" ref="F74">SUM(F65:F68+F70:F73)</f>
        <v>9391.6</v>
      </c>
      <c r="G74" s="90"/>
    </row>
  </sheetData>
  <mergeCells count="7">
    <mergeCell ref="A64:G64"/>
    <mergeCell ref="A69:G69"/>
    <mergeCell ref="A1:G1"/>
    <mergeCell ref="A2:G2"/>
    <mergeCell ref="A3:G3"/>
    <mergeCell ref="A61:G61"/>
    <mergeCell ref="A62:G6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371A-3D03-4FB1-BC65-9B6F276FDCAF}">
  <sheetPr>
    <tabColor rgb="FFA9D08E"/>
  </sheetPr>
  <dimension ref="A1:H48"/>
  <sheetViews>
    <sheetView workbookViewId="0">
      <selection activeCell="E24" sqref="E24"/>
    </sheetView>
  </sheetViews>
  <sheetFormatPr defaultRowHeight="15" x14ac:dyDescent="0.25"/>
  <cols>
    <col min="2" max="2" width="56.85546875" customWidth="1"/>
    <col min="3" max="3" width="9.5703125" customWidth="1"/>
    <col min="4" max="4" width="14" customWidth="1"/>
    <col min="5" max="6" width="12.7109375" customWidth="1"/>
    <col min="7" max="7" width="14.140625" customWidth="1"/>
    <col min="8" max="8" width="14.7109375" bestFit="1" customWidth="1"/>
  </cols>
  <sheetData>
    <row r="1" spans="1:7" ht="18" customHeight="1" x14ac:dyDescent="0.25">
      <c r="A1" s="443" t="s">
        <v>297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309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310</v>
      </c>
      <c r="B3" s="457"/>
      <c r="C3" s="457"/>
      <c r="D3" s="457"/>
      <c r="E3" s="457"/>
      <c r="F3" s="457"/>
      <c r="G3" s="458"/>
    </row>
    <row r="4" spans="1:7" x14ac:dyDescent="0.25">
      <c r="A4" s="14" t="s">
        <v>3</v>
      </c>
      <c r="B4" s="14" t="s">
        <v>4</v>
      </c>
      <c r="C4" s="60" t="s">
        <v>5</v>
      </c>
      <c r="D4" s="2" t="s">
        <v>6</v>
      </c>
      <c r="E4" s="2" t="s">
        <v>7</v>
      </c>
      <c r="F4" s="61" t="s">
        <v>8</v>
      </c>
      <c r="G4" s="12" t="s">
        <v>9</v>
      </c>
    </row>
    <row r="5" spans="1:7" x14ac:dyDescent="0.25">
      <c r="A5" s="15">
        <v>1</v>
      </c>
      <c r="B5" s="3" t="s">
        <v>86</v>
      </c>
      <c r="C5" s="70">
        <v>104.29</v>
      </c>
      <c r="D5" s="4">
        <v>34</v>
      </c>
      <c r="E5" s="350">
        <v>0</v>
      </c>
      <c r="F5" s="68">
        <f t="shared" ref="F5:F36" si="0">C5*E5</f>
        <v>0</v>
      </c>
      <c r="G5" s="13"/>
    </row>
    <row r="6" spans="1:7" x14ac:dyDescent="0.25">
      <c r="A6" s="15">
        <v>2</v>
      </c>
      <c r="B6" s="3" t="s">
        <v>86</v>
      </c>
      <c r="C6" s="70">
        <v>104.29</v>
      </c>
      <c r="D6" s="343">
        <v>35</v>
      </c>
      <c r="E6" s="350">
        <v>0</v>
      </c>
      <c r="F6" s="68">
        <f t="shared" si="0"/>
        <v>0</v>
      </c>
      <c r="G6" s="13"/>
    </row>
    <row r="7" spans="1:7" x14ac:dyDescent="0.25">
      <c r="A7" s="15">
        <v>3</v>
      </c>
      <c r="B7" s="3" t="s">
        <v>86</v>
      </c>
      <c r="C7" s="70">
        <v>104.29</v>
      </c>
      <c r="D7" s="343">
        <v>36</v>
      </c>
      <c r="E7" s="350">
        <v>0</v>
      </c>
      <c r="F7" s="68">
        <f t="shared" si="0"/>
        <v>0</v>
      </c>
      <c r="G7" s="13"/>
    </row>
    <row r="8" spans="1:7" x14ac:dyDescent="0.25">
      <c r="A8" s="15">
        <v>4</v>
      </c>
      <c r="B8" s="3" t="s">
        <v>86</v>
      </c>
      <c r="C8" s="70">
        <v>104.29</v>
      </c>
      <c r="D8" s="344">
        <v>37</v>
      </c>
      <c r="E8" s="350">
        <v>0</v>
      </c>
      <c r="F8" s="68">
        <f t="shared" si="0"/>
        <v>0</v>
      </c>
      <c r="G8" s="13"/>
    </row>
    <row r="9" spans="1:7" x14ac:dyDescent="0.25">
      <c r="A9" s="15">
        <v>5</v>
      </c>
      <c r="B9" s="3" t="s">
        <v>86</v>
      </c>
      <c r="C9" s="70">
        <v>104.29</v>
      </c>
      <c r="D9" s="345">
        <v>38</v>
      </c>
      <c r="E9" s="350">
        <v>2</v>
      </c>
      <c r="F9" s="68">
        <f t="shared" si="0"/>
        <v>208.58</v>
      </c>
      <c r="G9" s="13"/>
    </row>
    <row r="10" spans="1:7" x14ac:dyDescent="0.25">
      <c r="A10" s="15">
        <v>6</v>
      </c>
      <c r="B10" s="3" t="s">
        <v>86</v>
      </c>
      <c r="C10" s="70">
        <v>104.29</v>
      </c>
      <c r="D10" s="343">
        <v>39</v>
      </c>
      <c r="E10" s="350">
        <v>4</v>
      </c>
      <c r="F10" s="68">
        <f t="shared" si="0"/>
        <v>417.16</v>
      </c>
      <c r="G10" s="13"/>
    </row>
    <row r="11" spans="1:7" x14ac:dyDescent="0.25">
      <c r="A11" s="15">
        <v>7</v>
      </c>
      <c r="B11" s="3" t="s">
        <v>86</v>
      </c>
      <c r="C11" s="70">
        <v>104.29</v>
      </c>
      <c r="D11" s="343">
        <v>40</v>
      </c>
      <c r="E11" s="350">
        <v>5</v>
      </c>
      <c r="F11" s="68">
        <f t="shared" si="0"/>
        <v>521.45000000000005</v>
      </c>
      <c r="G11" s="13"/>
    </row>
    <row r="12" spans="1:7" x14ac:dyDescent="0.25">
      <c r="A12" s="15">
        <v>8</v>
      </c>
      <c r="B12" s="3" t="s">
        <v>86</v>
      </c>
      <c r="C12" s="70">
        <v>104.29</v>
      </c>
      <c r="D12" s="344">
        <v>41</v>
      </c>
      <c r="E12" s="350">
        <v>4</v>
      </c>
      <c r="F12" s="68">
        <f t="shared" si="0"/>
        <v>417.16</v>
      </c>
      <c r="G12" s="13"/>
    </row>
    <row r="13" spans="1:7" x14ac:dyDescent="0.25">
      <c r="A13" s="15">
        <v>9</v>
      </c>
      <c r="B13" s="3" t="s">
        <v>86</v>
      </c>
      <c r="C13" s="70">
        <v>104.29</v>
      </c>
      <c r="D13" s="344">
        <v>42</v>
      </c>
      <c r="E13" s="350">
        <v>4</v>
      </c>
      <c r="F13" s="68">
        <f t="shared" si="0"/>
        <v>417.16</v>
      </c>
      <c r="G13" s="13"/>
    </row>
    <row r="14" spans="1:7" x14ac:dyDescent="0.25">
      <c r="A14" s="15">
        <v>10</v>
      </c>
      <c r="B14" s="3" t="s">
        <v>86</v>
      </c>
      <c r="C14" s="70">
        <v>104.29</v>
      </c>
      <c r="D14" s="344">
        <v>43</v>
      </c>
      <c r="E14" s="350">
        <v>5</v>
      </c>
      <c r="F14" s="68">
        <f t="shared" si="0"/>
        <v>521.45000000000005</v>
      </c>
      <c r="G14" s="13"/>
    </row>
    <row r="15" spans="1:7" x14ac:dyDescent="0.25">
      <c r="A15" s="15">
        <v>11</v>
      </c>
      <c r="B15" s="3" t="s">
        <v>86</v>
      </c>
      <c r="C15" s="70">
        <v>104.29</v>
      </c>
      <c r="D15" s="344">
        <v>44</v>
      </c>
      <c r="E15" s="350">
        <v>3</v>
      </c>
      <c r="F15" s="68">
        <f t="shared" si="0"/>
        <v>312.87</v>
      </c>
      <c r="G15" s="13"/>
    </row>
    <row r="16" spans="1:7" x14ac:dyDescent="0.25">
      <c r="A16" s="15">
        <v>12</v>
      </c>
      <c r="B16" s="3" t="s">
        <v>86</v>
      </c>
      <c r="C16" s="70">
        <v>104.29</v>
      </c>
      <c r="D16" s="344">
        <v>45</v>
      </c>
      <c r="E16" s="350">
        <v>0</v>
      </c>
      <c r="F16" s="68">
        <f t="shared" si="0"/>
        <v>0</v>
      </c>
      <c r="G16" s="13"/>
    </row>
    <row r="17" spans="1:7" x14ac:dyDescent="0.25">
      <c r="A17" s="15">
        <v>13</v>
      </c>
      <c r="B17" s="3" t="s">
        <v>86</v>
      </c>
      <c r="C17" s="70">
        <v>104.29</v>
      </c>
      <c r="D17" s="344">
        <v>46</v>
      </c>
      <c r="E17" s="350">
        <v>0</v>
      </c>
      <c r="F17" s="68">
        <f t="shared" si="0"/>
        <v>0</v>
      </c>
      <c r="G17" s="13"/>
    </row>
    <row r="18" spans="1:7" x14ac:dyDescent="0.25">
      <c r="A18" s="15">
        <v>14</v>
      </c>
      <c r="B18" s="8" t="s">
        <v>87</v>
      </c>
      <c r="C18" s="69">
        <v>40</v>
      </c>
      <c r="D18" s="3" t="s">
        <v>31</v>
      </c>
      <c r="E18" s="350">
        <v>0</v>
      </c>
      <c r="F18" s="68">
        <f t="shared" si="0"/>
        <v>0</v>
      </c>
      <c r="G18" s="13"/>
    </row>
    <row r="19" spans="1:7" x14ac:dyDescent="0.25">
      <c r="A19" s="15">
        <v>15</v>
      </c>
      <c r="B19" s="8" t="s">
        <v>87</v>
      </c>
      <c r="C19" s="69">
        <v>40</v>
      </c>
      <c r="D19" s="3" t="s">
        <v>28</v>
      </c>
      <c r="E19" s="350">
        <v>4</v>
      </c>
      <c r="F19" s="68">
        <f t="shared" si="0"/>
        <v>160</v>
      </c>
      <c r="G19" s="13"/>
    </row>
    <row r="20" spans="1:7" x14ac:dyDescent="0.25">
      <c r="A20" s="15">
        <v>16</v>
      </c>
      <c r="B20" s="8" t="s">
        <v>87</v>
      </c>
      <c r="C20" s="69">
        <v>40</v>
      </c>
      <c r="D20" s="6" t="s">
        <v>29</v>
      </c>
      <c r="E20" s="350">
        <v>7</v>
      </c>
      <c r="F20" s="68">
        <f t="shared" si="0"/>
        <v>280</v>
      </c>
      <c r="G20" s="13"/>
    </row>
    <row r="21" spans="1:7" x14ac:dyDescent="0.25">
      <c r="A21" s="15">
        <v>17</v>
      </c>
      <c r="B21" s="8" t="s">
        <v>87</v>
      </c>
      <c r="C21" s="69">
        <v>40</v>
      </c>
      <c r="D21" s="3" t="s">
        <v>37</v>
      </c>
      <c r="E21" s="350">
        <v>5</v>
      </c>
      <c r="F21" s="68">
        <f t="shared" si="0"/>
        <v>200</v>
      </c>
      <c r="G21" s="13"/>
    </row>
    <row r="22" spans="1:7" x14ac:dyDescent="0.25">
      <c r="A22" s="15">
        <v>18</v>
      </c>
      <c r="B22" s="9" t="s">
        <v>40</v>
      </c>
      <c r="C22" s="68">
        <v>87.97</v>
      </c>
      <c r="D22" s="3"/>
      <c r="E22" s="350">
        <v>0</v>
      </c>
      <c r="F22" s="68">
        <f t="shared" si="0"/>
        <v>0</v>
      </c>
      <c r="G22" s="13"/>
    </row>
    <row r="23" spans="1:7" x14ac:dyDescent="0.25">
      <c r="A23" s="15">
        <v>19</v>
      </c>
      <c r="B23" s="7" t="s">
        <v>127</v>
      </c>
      <c r="C23" s="71">
        <v>39</v>
      </c>
      <c r="D23" s="6"/>
      <c r="E23" s="5">
        <v>8</v>
      </c>
      <c r="F23" s="68">
        <f t="shared" si="0"/>
        <v>312</v>
      </c>
      <c r="G23" s="13"/>
    </row>
    <row r="24" spans="1:7" x14ac:dyDescent="0.25">
      <c r="A24" s="15">
        <v>21</v>
      </c>
      <c r="B24" s="9" t="s">
        <v>96</v>
      </c>
      <c r="C24" s="68">
        <v>38</v>
      </c>
      <c r="D24" s="6"/>
      <c r="E24" s="5">
        <v>9</v>
      </c>
      <c r="F24" s="68">
        <f t="shared" si="0"/>
        <v>342</v>
      </c>
      <c r="G24" s="13"/>
    </row>
    <row r="25" spans="1:7" x14ac:dyDescent="0.25">
      <c r="A25" s="15">
        <v>22</v>
      </c>
      <c r="B25" s="9" t="s">
        <v>64</v>
      </c>
      <c r="C25" s="72">
        <v>4.8499999999999996</v>
      </c>
      <c r="D25" s="6"/>
      <c r="E25" s="5">
        <v>17</v>
      </c>
      <c r="F25" s="68">
        <f t="shared" si="0"/>
        <v>82.449999999999989</v>
      </c>
      <c r="G25" s="13"/>
    </row>
    <row r="26" spans="1:7" x14ac:dyDescent="0.25">
      <c r="A26" s="15">
        <v>23</v>
      </c>
      <c r="B26" s="10" t="s">
        <v>63</v>
      </c>
      <c r="C26" s="73">
        <v>4</v>
      </c>
      <c r="D26" s="6"/>
      <c r="E26" s="5">
        <v>4</v>
      </c>
      <c r="F26" s="68">
        <f t="shared" si="0"/>
        <v>16</v>
      </c>
      <c r="G26" s="13"/>
    </row>
    <row r="27" spans="1:7" x14ac:dyDescent="0.25">
      <c r="A27" s="15">
        <v>24</v>
      </c>
      <c r="B27" s="10" t="s">
        <v>42</v>
      </c>
      <c r="C27" s="68">
        <v>21</v>
      </c>
      <c r="D27" s="6"/>
      <c r="E27" s="5">
        <v>10</v>
      </c>
      <c r="F27" s="68">
        <f t="shared" si="0"/>
        <v>210</v>
      </c>
      <c r="G27" s="13"/>
    </row>
    <row r="28" spans="1:7" x14ac:dyDescent="0.25">
      <c r="A28" s="15">
        <v>25</v>
      </c>
      <c r="B28" s="9" t="s">
        <v>311</v>
      </c>
      <c r="C28" s="68">
        <v>28.94</v>
      </c>
      <c r="D28" s="6"/>
      <c r="E28" s="5">
        <v>6</v>
      </c>
      <c r="F28" s="68">
        <f t="shared" si="0"/>
        <v>173.64000000000001</v>
      </c>
      <c r="G28" s="13"/>
    </row>
    <row r="29" spans="1:7" x14ac:dyDescent="0.25">
      <c r="A29" s="15">
        <v>26</v>
      </c>
      <c r="B29" s="8" t="s">
        <v>312</v>
      </c>
      <c r="C29" s="68">
        <v>15.19</v>
      </c>
      <c r="D29" s="6"/>
      <c r="E29" s="5">
        <v>5</v>
      </c>
      <c r="F29" s="68">
        <f t="shared" si="0"/>
        <v>75.95</v>
      </c>
      <c r="G29" s="13"/>
    </row>
    <row r="30" spans="1:7" ht="15" customHeight="1" x14ac:dyDescent="0.25">
      <c r="A30" s="15">
        <v>28</v>
      </c>
      <c r="B30" s="11" t="s">
        <v>10</v>
      </c>
      <c r="C30" s="68">
        <v>126.1</v>
      </c>
      <c r="D30" s="6"/>
      <c r="E30" s="5">
        <v>10</v>
      </c>
      <c r="F30" s="68">
        <f t="shared" si="0"/>
        <v>1261</v>
      </c>
      <c r="G30" s="13"/>
    </row>
    <row r="31" spans="1:7" ht="15" customHeight="1" x14ac:dyDescent="0.25">
      <c r="A31" s="15">
        <v>29</v>
      </c>
      <c r="B31" s="11" t="s">
        <v>38</v>
      </c>
      <c r="C31" s="68">
        <v>75</v>
      </c>
      <c r="D31" s="6"/>
      <c r="E31" s="5">
        <v>9</v>
      </c>
      <c r="F31" s="68">
        <f t="shared" si="0"/>
        <v>675</v>
      </c>
      <c r="G31" s="13"/>
    </row>
    <row r="32" spans="1:7" ht="15" customHeight="1" x14ac:dyDescent="0.25">
      <c r="A32" s="15">
        <v>30</v>
      </c>
      <c r="B32" s="11" t="s">
        <v>41</v>
      </c>
      <c r="C32" s="68">
        <v>584.20000000000005</v>
      </c>
      <c r="D32" s="6"/>
      <c r="E32" s="5">
        <v>3</v>
      </c>
      <c r="F32" s="68">
        <f t="shared" si="0"/>
        <v>1752.6000000000001</v>
      </c>
      <c r="G32" s="13"/>
    </row>
    <row r="33" spans="1:8" ht="18" customHeight="1" x14ac:dyDescent="0.25">
      <c r="A33" s="15">
        <v>31</v>
      </c>
      <c r="B33" s="11" t="s">
        <v>69</v>
      </c>
      <c r="C33" s="68">
        <v>890.46</v>
      </c>
      <c r="D33" s="6"/>
      <c r="E33" s="5">
        <v>3</v>
      </c>
      <c r="F33" s="68">
        <f t="shared" si="0"/>
        <v>2671.38</v>
      </c>
      <c r="G33" s="13"/>
    </row>
    <row r="34" spans="1:8" ht="18" customHeight="1" x14ac:dyDescent="0.25">
      <c r="A34" s="15">
        <v>32</v>
      </c>
      <c r="B34" s="11" t="s">
        <v>70</v>
      </c>
      <c r="C34" s="68">
        <v>355</v>
      </c>
      <c r="D34" s="6"/>
      <c r="E34" s="5">
        <v>3</v>
      </c>
      <c r="F34" s="68">
        <f t="shared" si="0"/>
        <v>1065</v>
      </c>
      <c r="G34" s="13"/>
    </row>
    <row r="35" spans="1:8" ht="18" customHeight="1" x14ac:dyDescent="0.25">
      <c r="A35" s="15">
        <v>33</v>
      </c>
      <c r="B35" s="11" t="s">
        <v>71</v>
      </c>
      <c r="C35" s="68">
        <v>280.39</v>
      </c>
      <c r="D35" s="6"/>
      <c r="E35" s="5">
        <v>0</v>
      </c>
      <c r="F35" s="68">
        <f t="shared" si="0"/>
        <v>0</v>
      </c>
      <c r="G35" s="13"/>
    </row>
    <row r="36" spans="1:8" ht="18" customHeight="1" x14ac:dyDescent="0.25">
      <c r="A36" s="15">
        <v>34</v>
      </c>
      <c r="B36" s="11" t="s">
        <v>73</v>
      </c>
      <c r="C36" s="68">
        <v>311.64999999999998</v>
      </c>
      <c r="D36" s="6"/>
      <c r="E36" s="5">
        <v>3</v>
      </c>
      <c r="F36" s="68">
        <f t="shared" si="0"/>
        <v>934.94999999999993</v>
      </c>
      <c r="G36" s="13"/>
      <c r="H36" s="96">
        <f>'ESTOQUE CWN - DF'!F46+'ESTOQUE CWN - MT'!F37+'ESTOQUE CWN - MS'!F54</f>
        <v>93932.98000000001</v>
      </c>
    </row>
    <row r="37" spans="1:8" ht="18" customHeight="1" x14ac:dyDescent="0.25">
      <c r="A37" s="503" t="s">
        <v>75</v>
      </c>
      <c r="B37" s="503"/>
      <c r="C37" s="503"/>
      <c r="D37" s="503"/>
      <c r="E37" s="503"/>
      <c r="F37" s="503"/>
      <c r="G37" s="503"/>
    </row>
    <row r="38" spans="1:8" ht="18" customHeight="1" x14ac:dyDescent="0.25">
      <c r="A38" s="33">
        <v>35</v>
      </c>
      <c r="B38" s="34" t="s">
        <v>76</v>
      </c>
      <c r="C38" s="34"/>
      <c r="D38" s="44"/>
      <c r="E38" s="35">
        <v>0</v>
      </c>
      <c r="F38" s="62"/>
      <c r="G38" s="36"/>
    </row>
    <row r="39" spans="1:8" x14ac:dyDescent="0.25">
      <c r="A39" s="33">
        <v>36</v>
      </c>
      <c r="B39" s="34" t="s">
        <v>77</v>
      </c>
      <c r="C39" s="34"/>
      <c r="D39" s="44"/>
      <c r="E39" s="35">
        <v>0</v>
      </c>
      <c r="F39" s="62"/>
      <c r="G39" s="36"/>
    </row>
    <row r="40" spans="1:8" ht="18" customHeight="1" x14ac:dyDescent="0.25">
      <c r="A40" s="33">
        <v>37</v>
      </c>
      <c r="B40" s="34" t="s">
        <v>78</v>
      </c>
      <c r="C40" s="34"/>
      <c r="D40" s="44"/>
      <c r="E40" s="35">
        <v>0</v>
      </c>
      <c r="F40" s="62"/>
      <c r="G40" s="36"/>
    </row>
    <row r="41" spans="1:8" ht="18" customHeight="1" thickBot="1" x14ac:dyDescent="0.3">
      <c r="A41" s="37">
        <v>38</v>
      </c>
      <c r="B41" s="38" t="s">
        <v>79</v>
      </c>
      <c r="C41" s="38"/>
      <c r="D41" s="45"/>
      <c r="E41" s="35">
        <v>0</v>
      </c>
      <c r="F41" s="63"/>
      <c r="G41" s="40"/>
    </row>
    <row r="42" spans="1:8" x14ac:dyDescent="0.25">
      <c r="A42" s="507" t="s">
        <v>163</v>
      </c>
      <c r="B42" s="507"/>
      <c r="C42" s="507"/>
      <c r="D42" s="507"/>
      <c r="E42" s="507"/>
      <c r="F42" s="507"/>
      <c r="G42" s="507"/>
    </row>
    <row r="43" spans="1:8" x14ac:dyDescent="0.25">
      <c r="A43" s="41">
        <v>39</v>
      </c>
      <c r="B43" s="42" t="s">
        <v>76</v>
      </c>
      <c r="C43" s="42"/>
      <c r="D43" s="43"/>
      <c r="E43" s="35">
        <v>10</v>
      </c>
      <c r="F43" s="65"/>
      <c r="G43" s="43"/>
    </row>
    <row r="44" spans="1:8" x14ac:dyDescent="0.25">
      <c r="A44" s="41">
        <v>40</v>
      </c>
      <c r="B44" s="42" t="s">
        <v>77</v>
      </c>
      <c r="C44" s="42"/>
      <c r="D44" s="43"/>
      <c r="E44" s="35">
        <v>50</v>
      </c>
      <c r="F44" s="65"/>
      <c r="G44" s="43"/>
    </row>
    <row r="45" spans="1:8" x14ac:dyDescent="0.25">
      <c r="A45" s="41">
        <v>41</v>
      </c>
      <c r="B45" s="42" t="s">
        <v>78</v>
      </c>
      <c r="C45" s="42"/>
      <c r="D45" s="43"/>
      <c r="E45" s="35">
        <v>110</v>
      </c>
      <c r="F45" s="65"/>
      <c r="G45" s="43"/>
    </row>
    <row r="46" spans="1:8" x14ac:dyDescent="0.25">
      <c r="A46" s="41">
        <v>42</v>
      </c>
      <c r="B46" s="42" t="s">
        <v>79</v>
      </c>
      <c r="C46" s="42"/>
      <c r="D46" s="43"/>
      <c r="E46" s="35">
        <v>15</v>
      </c>
      <c r="F46" s="65"/>
      <c r="G46" s="43"/>
    </row>
    <row r="48" spans="1:8" x14ac:dyDescent="0.25">
      <c r="B48" s="348" t="s">
        <v>313</v>
      </c>
      <c r="C48" s="54"/>
    </row>
  </sheetData>
  <mergeCells count="5">
    <mergeCell ref="A1:G1"/>
    <mergeCell ref="A2:G2"/>
    <mergeCell ref="A3:G3"/>
    <mergeCell ref="A37:G37"/>
    <mergeCell ref="A42:G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76EA-3E67-4DFD-88EA-924D96E9ADA8}">
  <sheetPr>
    <tabColor rgb="FFA9D08E"/>
  </sheetPr>
  <dimension ref="A1:H73"/>
  <sheetViews>
    <sheetView workbookViewId="0">
      <selection activeCell="E27" sqref="E27"/>
    </sheetView>
  </sheetViews>
  <sheetFormatPr defaultRowHeight="15" x14ac:dyDescent="0.25"/>
  <cols>
    <col min="2" max="2" width="48.42578125" customWidth="1"/>
    <col min="3" max="3" width="15.140625" customWidth="1"/>
    <col min="4" max="4" width="10.7109375" style="30" customWidth="1"/>
    <col min="5" max="6" width="12.7109375" customWidth="1"/>
    <col min="7" max="7" width="14.140625" customWidth="1"/>
    <col min="8" max="8" width="9.85546875" bestFit="1" customWidth="1"/>
  </cols>
  <sheetData>
    <row r="1" spans="1:7" ht="18" customHeight="1" x14ac:dyDescent="0.25">
      <c r="A1" s="447" t="s">
        <v>297</v>
      </c>
      <c r="B1" s="447"/>
      <c r="C1" s="447"/>
      <c r="D1" s="447"/>
      <c r="E1" s="447"/>
      <c r="F1" s="447"/>
      <c r="G1" s="447"/>
    </row>
    <row r="2" spans="1:7" ht="18" customHeight="1" x14ac:dyDescent="0.25">
      <c r="A2" s="447" t="s">
        <v>314</v>
      </c>
      <c r="B2" s="447"/>
      <c r="C2" s="447"/>
      <c r="D2" s="447"/>
      <c r="E2" s="447"/>
      <c r="F2" s="447"/>
      <c r="G2" s="447"/>
    </row>
    <row r="3" spans="1:7" ht="18" customHeight="1" x14ac:dyDescent="0.25">
      <c r="A3" s="447" t="s">
        <v>315</v>
      </c>
      <c r="B3" s="447"/>
      <c r="C3" s="447"/>
      <c r="D3" s="447"/>
      <c r="E3" s="447"/>
      <c r="F3" s="447"/>
      <c r="G3" s="447"/>
    </row>
    <row r="4" spans="1:7" x14ac:dyDescent="0.25">
      <c r="A4" s="28" t="s">
        <v>3</v>
      </c>
      <c r="B4" s="28" t="s">
        <v>4</v>
      </c>
      <c r="C4" s="28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ht="15" customHeight="1" x14ac:dyDescent="0.25">
      <c r="A5" s="20">
        <v>1</v>
      </c>
      <c r="B5" s="165" t="s">
        <v>200</v>
      </c>
      <c r="C5" s="183"/>
      <c r="D5" s="5" t="s">
        <v>11</v>
      </c>
      <c r="E5" s="167">
        <v>0</v>
      </c>
      <c r="F5" s="185">
        <f t="shared" ref="F5:F39" si="0">C5*E5</f>
        <v>0</v>
      </c>
      <c r="G5" s="51"/>
    </row>
    <row r="6" spans="1:7" ht="15" customHeight="1" x14ac:dyDescent="0.25">
      <c r="A6" s="20">
        <v>2</v>
      </c>
      <c r="B6" s="74" t="s">
        <v>10</v>
      </c>
      <c r="C6" s="183">
        <f>'ESTOQUE - SPO'!D6</f>
        <v>126.1</v>
      </c>
      <c r="D6" s="5" t="s">
        <v>11</v>
      </c>
      <c r="E6" s="167">
        <v>3</v>
      </c>
      <c r="F6" s="185">
        <f t="shared" si="0"/>
        <v>378.29999999999995</v>
      </c>
      <c r="G6" s="6"/>
    </row>
    <row r="7" spans="1:7" ht="15" customHeight="1" x14ac:dyDescent="0.25">
      <c r="A7" s="20">
        <v>3</v>
      </c>
      <c r="B7" s="74" t="s">
        <v>201</v>
      </c>
      <c r="C7" s="183">
        <v>69.900000000000006</v>
      </c>
      <c r="D7" s="17">
        <v>38</v>
      </c>
      <c r="E7" s="167">
        <v>0</v>
      </c>
      <c r="F7" s="185">
        <f t="shared" si="0"/>
        <v>0</v>
      </c>
      <c r="G7" s="6"/>
    </row>
    <row r="8" spans="1:7" ht="15" customHeight="1" x14ac:dyDescent="0.25">
      <c r="A8" s="20">
        <v>4</v>
      </c>
      <c r="B8" s="74" t="s">
        <v>202</v>
      </c>
      <c r="C8" s="183">
        <v>69.900000000000006</v>
      </c>
      <c r="D8" s="18">
        <v>39</v>
      </c>
      <c r="E8" s="167">
        <v>0</v>
      </c>
      <c r="F8" s="185">
        <f t="shared" si="0"/>
        <v>0</v>
      </c>
      <c r="G8" s="6"/>
    </row>
    <row r="9" spans="1:7" ht="15" customHeight="1" x14ac:dyDescent="0.25">
      <c r="A9" s="20">
        <v>5</v>
      </c>
      <c r="B9" s="74" t="s">
        <v>203</v>
      </c>
      <c r="C9" s="183">
        <v>69.900000000000006</v>
      </c>
      <c r="D9" s="16">
        <v>40</v>
      </c>
      <c r="E9" s="167">
        <v>0</v>
      </c>
      <c r="F9" s="185">
        <f t="shared" si="0"/>
        <v>0</v>
      </c>
      <c r="G9" s="6"/>
    </row>
    <row r="10" spans="1:7" ht="15" customHeight="1" x14ac:dyDescent="0.25">
      <c r="A10" s="20">
        <v>6</v>
      </c>
      <c r="B10" s="74" t="s">
        <v>204</v>
      </c>
      <c r="C10" s="183">
        <v>69.900000000000006</v>
      </c>
      <c r="D10" s="17">
        <v>41</v>
      </c>
      <c r="E10" s="167">
        <v>0</v>
      </c>
      <c r="F10" s="185">
        <f t="shared" si="0"/>
        <v>0</v>
      </c>
      <c r="G10" s="6"/>
    </row>
    <row r="11" spans="1:7" ht="15" customHeight="1" x14ac:dyDescent="0.25">
      <c r="A11" s="20">
        <v>7</v>
      </c>
      <c r="B11" s="74" t="s">
        <v>205</v>
      </c>
      <c r="C11" s="183">
        <v>69.900000000000006</v>
      </c>
      <c r="D11" s="17">
        <v>42</v>
      </c>
      <c r="E11" s="167">
        <v>0</v>
      </c>
      <c r="F11" s="185">
        <f t="shared" si="0"/>
        <v>0</v>
      </c>
      <c r="G11" s="6"/>
    </row>
    <row r="12" spans="1:7" ht="15" customHeight="1" x14ac:dyDescent="0.25">
      <c r="A12" s="20">
        <v>8</v>
      </c>
      <c r="B12" s="74" t="s">
        <v>206</v>
      </c>
      <c r="C12" s="178">
        <v>104.29</v>
      </c>
      <c r="D12" s="18">
        <v>33</v>
      </c>
      <c r="E12" s="167">
        <v>0</v>
      </c>
      <c r="F12" s="185">
        <f t="shared" si="0"/>
        <v>0</v>
      </c>
      <c r="G12" s="6"/>
    </row>
    <row r="13" spans="1:7" ht="15" customHeight="1" x14ac:dyDescent="0.25">
      <c r="A13" s="20">
        <v>9</v>
      </c>
      <c r="B13" s="74" t="s">
        <v>207</v>
      </c>
      <c r="C13" s="178">
        <v>104.29</v>
      </c>
      <c r="D13" s="18">
        <v>32</v>
      </c>
      <c r="E13" s="167">
        <v>0</v>
      </c>
      <c r="F13" s="185">
        <f t="shared" si="0"/>
        <v>0</v>
      </c>
      <c r="G13" s="6"/>
    </row>
    <row r="14" spans="1:7" ht="15" customHeight="1" x14ac:dyDescent="0.25">
      <c r="A14" s="20">
        <v>10</v>
      </c>
      <c r="B14" s="74" t="s">
        <v>208</v>
      </c>
      <c r="C14" s="178">
        <v>104.29</v>
      </c>
      <c r="D14" s="18">
        <v>35</v>
      </c>
      <c r="E14" s="167">
        <v>0</v>
      </c>
      <c r="F14" s="185">
        <f t="shared" si="0"/>
        <v>0</v>
      </c>
      <c r="G14" s="6"/>
    </row>
    <row r="15" spans="1:7" ht="15" customHeight="1" x14ac:dyDescent="0.25">
      <c r="A15" s="20">
        <v>11</v>
      </c>
      <c r="B15" s="74" t="s">
        <v>209</v>
      </c>
      <c r="C15" s="178">
        <v>104.29</v>
      </c>
      <c r="D15" s="18">
        <v>36</v>
      </c>
      <c r="E15" s="167">
        <v>6</v>
      </c>
      <c r="F15" s="185">
        <f t="shared" si="0"/>
        <v>625.74</v>
      </c>
      <c r="G15" s="6"/>
    </row>
    <row r="16" spans="1:7" ht="15" customHeight="1" x14ac:dyDescent="0.25">
      <c r="A16" s="20">
        <v>12</v>
      </c>
      <c r="B16" s="74" t="s">
        <v>210</v>
      </c>
      <c r="C16" s="178">
        <v>104.29</v>
      </c>
      <c r="D16" s="18">
        <v>37</v>
      </c>
      <c r="E16" s="167">
        <v>6</v>
      </c>
      <c r="F16" s="185">
        <f t="shared" si="0"/>
        <v>625.74</v>
      </c>
      <c r="G16" s="6"/>
    </row>
    <row r="17" spans="1:7" ht="15" customHeight="1" x14ac:dyDescent="0.25">
      <c r="A17" s="20">
        <v>13</v>
      </c>
      <c r="B17" s="74" t="s">
        <v>211</v>
      </c>
      <c r="C17" s="178">
        <v>104.29</v>
      </c>
      <c r="D17" s="18">
        <v>38</v>
      </c>
      <c r="E17" s="19">
        <v>6</v>
      </c>
      <c r="F17" s="185">
        <f t="shared" si="0"/>
        <v>625.74</v>
      </c>
      <c r="G17" s="6"/>
    </row>
    <row r="18" spans="1:7" ht="15" customHeight="1" x14ac:dyDescent="0.25">
      <c r="A18" s="20">
        <v>14</v>
      </c>
      <c r="B18" s="74" t="s">
        <v>212</v>
      </c>
      <c r="C18" s="178">
        <v>104.29</v>
      </c>
      <c r="D18" s="18">
        <v>39</v>
      </c>
      <c r="E18" s="19">
        <v>8</v>
      </c>
      <c r="F18" s="185">
        <f t="shared" si="0"/>
        <v>834.32</v>
      </c>
      <c r="G18" s="6"/>
    </row>
    <row r="19" spans="1:7" ht="15" customHeight="1" x14ac:dyDescent="0.25">
      <c r="A19" s="20">
        <v>15</v>
      </c>
      <c r="B19" s="74" t="s">
        <v>213</v>
      </c>
      <c r="C19" s="178">
        <v>104.29</v>
      </c>
      <c r="D19" s="18">
        <v>40</v>
      </c>
      <c r="E19" s="167">
        <v>9</v>
      </c>
      <c r="F19" s="185">
        <f t="shared" si="0"/>
        <v>938.61</v>
      </c>
      <c r="G19" s="6"/>
    </row>
    <row r="20" spans="1:7" ht="15" customHeight="1" x14ac:dyDescent="0.25">
      <c r="A20" s="20">
        <v>16</v>
      </c>
      <c r="B20" s="74" t="s">
        <v>214</v>
      </c>
      <c r="C20" s="178">
        <v>104.29</v>
      </c>
      <c r="D20" s="16">
        <v>41</v>
      </c>
      <c r="E20" s="166">
        <v>9</v>
      </c>
      <c r="F20" s="185">
        <f t="shared" si="0"/>
        <v>938.61</v>
      </c>
      <c r="G20" s="6"/>
    </row>
    <row r="21" spans="1:7" ht="15" customHeight="1" x14ac:dyDescent="0.25">
      <c r="A21" s="20">
        <v>17</v>
      </c>
      <c r="B21" s="74" t="s">
        <v>215</v>
      </c>
      <c r="C21" s="178">
        <v>104.29</v>
      </c>
      <c r="D21" s="18">
        <v>42</v>
      </c>
      <c r="E21" s="166">
        <v>8</v>
      </c>
      <c r="F21" s="185">
        <f t="shared" si="0"/>
        <v>834.32</v>
      </c>
      <c r="G21" s="6"/>
    </row>
    <row r="22" spans="1:7" ht="15" customHeight="1" x14ac:dyDescent="0.25">
      <c r="A22" s="20">
        <v>18</v>
      </c>
      <c r="B22" s="74" t="s">
        <v>216</v>
      </c>
      <c r="C22" s="178">
        <v>104.29</v>
      </c>
      <c r="D22" s="18">
        <v>43</v>
      </c>
      <c r="E22" s="166">
        <v>5</v>
      </c>
      <c r="F22" s="185">
        <f t="shared" si="0"/>
        <v>521.45000000000005</v>
      </c>
      <c r="G22" s="6"/>
    </row>
    <row r="23" spans="1:7" ht="15" customHeight="1" x14ac:dyDescent="0.25">
      <c r="A23" s="20">
        <v>19</v>
      </c>
      <c r="B23" s="165" t="s">
        <v>217</v>
      </c>
      <c r="C23" s="178">
        <v>104.29</v>
      </c>
      <c r="D23" s="17">
        <v>44</v>
      </c>
      <c r="E23" s="166">
        <v>4</v>
      </c>
      <c r="F23" s="185">
        <f t="shared" si="0"/>
        <v>417.16</v>
      </c>
      <c r="G23" s="51"/>
    </row>
    <row r="24" spans="1:7" ht="15" customHeight="1" x14ac:dyDescent="0.25">
      <c r="A24" s="20">
        <v>20</v>
      </c>
      <c r="B24" s="74" t="s">
        <v>218</v>
      </c>
      <c r="C24" s="178">
        <v>104.29</v>
      </c>
      <c r="D24" s="16">
        <v>45</v>
      </c>
      <c r="E24" s="166">
        <v>0</v>
      </c>
      <c r="F24" s="185">
        <f t="shared" si="0"/>
        <v>0</v>
      </c>
      <c r="G24" s="6"/>
    </row>
    <row r="25" spans="1:7" ht="15" customHeight="1" x14ac:dyDescent="0.25">
      <c r="A25" s="20">
        <v>21</v>
      </c>
      <c r="B25" s="74" t="s">
        <v>219</v>
      </c>
      <c r="C25" s="178">
        <v>104.29</v>
      </c>
      <c r="D25" s="16">
        <v>46</v>
      </c>
      <c r="E25" s="167">
        <v>0</v>
      </c>
      <c r="F25" s="185">
        <f t="shared" si="0"/>
        <v>0</v>
      </c>
      <c r="G25" s="6"/>
    </row>
    <row r="26" spans="1:7" ht="15" customHeight="1" x14ac:dyDescent="0.25">
      <c r="A26" s="20">
        <v>22</v>
      </c>
      <c r="B26" s="74" t="s">
        <v>220</v>
      </c>
      <c r="C26" s="178">
        <v>104.29</v>
      </c>
      <c r="D26" s="16">
        <v>48</v>
      </c>
      <c r="E26" s="167">
        <v>0</v>
      </c>
      <c r="F26" s="185">
        <f t="shared" si="0"/>
        <v>0</v>
      </c>
      <c r="G26" s="6"/>
    </row>
    <row r="27" spans="1:7" ht="15" customHeight="1" x14ac:dyDescent="0.25">
      <c r="A27" s="20">
        <v>23</v>
      </c>
      <c r="B27" s="165" t="s">
        <v>221</v>
      </c>
      <c r="C27" s="178">
        <v>40</v>
      </c>
      <c r="D27" s="17"/>
      <c r="E27" s="167">
        <v>6</v>
      </c>
      <c r="F27" s="185">
        <f t="shared" si="0"/>
        <v>240</v>
      </c>
      <c r="G27" s="51"/>
    </row>
    <row r="28" spans="1:7" ht="15" customHeight="1" x14ac:dyDescent="0.25">
      <c r="A28" s="20">
        <v>24</v>
      </c>
      <c r="B28" s="74" t="s">
        <v>222</v>
      </c>
      <c r="C28" s="178">
        <v>180.93</v>
      </c>
      <c r="D28" s="5" t="s">
        <v>11</v>
      </c>
      <c r="E28" s="167">
        <v>0</v>
      </c>
      <c r="F28" s="185">
        <f t="shared" si="0"/>
        <v>0</v>
      </c>
      <c r="G28" s="6"/>
    </row>
    <row r="29" spans="1:7" ht="15" customHeight="1" x14ac:dyDescent="0.25">
      <c r="A29" s="20">
        <v>25</v>
      </c>
      <c r="B29" s="165" t="s">
        <v>122</v>
      </c>
      <c r="C29" s="178">
        <v>75</v>
      </c>
      <c r="D29" s="5" t="s">
        <v>11</v>
      </c>
      <c r="E29" s="166">
        <v>8</v>
      </c>
      <c r="F29" s="185">
        <f t="shared" si="0"/>
        <v>600</v>
      </c>
      <c r="G29" s="51"/>
    </row>
    <row r="30" spans="1:7" ht="15" customHeight="1" x14ac:dyDescent="0.25">
      <c r="A30" s="20">
        <v>26</v>
      </c>
      <c r="B30" s="74" t="s">
        <v>223</v>
      </c>
      <c r="C30" s="113">
        <v>48.25</v>
      </c>
      <c r="D30" s="5" t="s">
        <v>11</v>
      </c>
      <c r="E30" s="166">
        <v>11</v>
      </c>
      <c r="F30" s="185">
        <f t="shared" si="0"/>
        <v>530.75</v>
      </c>
      <c r="G30" s="17"/>
    </row>
    <row r="31" spans="1:7" ht="15" customHeight="1" x14ac:dyDescent="0.25">
      <c r="A31" s="20">
        <v>27</v>
      </c>
      <c r="B31" s="138" t="s">
        <v>40</v>
      </c>
      <c r="C31" s="178">
        <v>87.97</v>
      </c>
      <c r="D31" s="5" t="s">
        <v>11</v>
      </c>
      <c r="E31" s="166">
        <v>14</v>
      </c>
      <c r="F31" s="185">
        <f t="shared" si="0"/>
        <v>1231.58</v>
      </c>
      <c r="G31" s="55"/>
    </row>
    <row r="32" spans="1:7" ht="15" customHeight="1" x14ac:dyDescent="0.25">
      <c r="A32" s="20">
        <v>28</v>
      </c>
      <c r="B32" s="74" t="s">
        <v>224</v>
      </c>
      <c r="C32" s="113">
        <v>584.20000000000005</v>
      </c>
      <c r="D32" s="5" t="s">
        <v>11</v>
      </c>
      <c r="E32" s="166">
        <v>5</v>
      </c>
      <c r="F32" s="185">
        <f t="shared" si="0"/>
        <v>2921</v>
      </c>
      <c r="G32" s="27"/>
    </row>
    <row r="33" spans="1:8" ht="15" customHeight="1" x14ac:dyDescent="0.25">
      <c r="A33" s="20">
        <v>29</v>
      </c>
      <c r="B33" s="165" t="s">
        <v>225</v>
      </c>
      <c r="C33" s="178">
        <v>21</v>
      </c>
      <c r="D33" s="5" t="s">
        <v>11</v>
      </c>
      <c r="E33" s="166">
        <v>12</v>
      </c>
      <c r="F33" s="185">
        <f t="shared" si="0"/>
        <v>252</v>
      </c>
      <c r="G33" s="51"/>
    </row>
    <row r="34" spans="1:8" ht="15" customHeight="1" x14ac:dyDescent="0.25">
      <c r="A34" s="20">
        <v>30</v>
      </c>
      <c r="B34" s="74" t="s">
        <v>226</v>
      </c>
      <c r="C34" s="178">
        <v>39</v>
      </c>
      <c r="D34" s="5" t="s">
        <v>11</v>
      </c>
      <c r="E34" s="166">
        <v>12</v>
      </c>
      <c r="F34" s="185">
        <f t="shared" si="0"/>
        <v>468</v>
      </c>
      <c r="G34" s="6"/>
    </row>
    <row r="35" spans="1:8" ht="15" customHeight="1" x14ac:dyDescent="0.25">
      <c r="A35" s="20">
        <v>31</v>
      </c>
      <c r="B35" s="74" t="s">
        <v>227</v>
      </c>
      <c r="C35" s="183">
        <v>81.83</v>
      </c>
      <c r="D35" s="5" t="s">
        <v>11</v>
      </c>
      <c r="E35" s="167">
        <v>0</v>
      </c>
      <c r="F35" s="185">
        <f t="shared" si="0"/>
        <v>0</v>
      </c>
      <c r="G35" s="6"/>
    </row>
    <row r="36" spans="1:8" ht="15" customHeight="1" x14ac:dyDescent="0.25">
      <c r="A36" s="20">
        <v>32</v>
      </c>
      <c r="B36" s="74" t="s">
        <v>228</v>
      </c>
      <c r="C36" s="178">
        <v>28.94</v>
      </c>
      <c r="D36" s="5" t="s">
        <v>11</v>
      </c>
      <c r="E36" s="167">
        <v>6</v>
      </c>
      <c r="F36" s="185">
        <f t="shared" si="0"/>
        <v>173.64000000000001</v>
      </c>
      <c r="G36" s="6"/>
    </row>
    <row r="37" spans="1:8" ht="15" customHeight="1" x14ac:dyDescent="0.25">
      <c r="A37" s="20">
        <v>33</v>
      </c>
      <c r="B37" s="165" t="s">
        <v>229</v>
      </c>
      <c r="C37" s="178">
        <v>8.6300000000000008</v>
      </c>
      <c r="D37" s="5" t="s">
        <v>11</v>
      </c>
      <c r="E37" s="166">
        <v>21</v>
      </c>
      <c r="F37" s="185">
        <f t="shared" si="0"/>
        <v>181.23000000000002</v>
      </c>
      <c r="G37" s="51"/>
    </row>
    <row r="38" spans="1:8" ht="15" customHeight="1" x14ac:dyDescent="0.25">
      <c r="A38" s="20">
        <v>34</v>
      </c>
      <c r="B38" s="74" t="s">
        <v>300</v>
      </c>
      <c r="C38" s="178">
        <v>267.69</v>
      </c>
      <c r="D38" s="17"/>
      <c r="E38" s="166">
        <v>0</v>
      </c>
      <c r="F38" s="185">
        <f t="shared" si="0"/>
        <v>0</v>
      </c>
      <c r="G38" s="6"/>
    </row>
    <row r="39" spans="1:8" ht="15" customHeight="1" x14ac:dyDescent="0.25">
      <c r="A39" s="20">
        <v>35</v>
      </c>
      <c r="B39" s="74" t="s">
        <v>301</v>
      </c>
      <c r="C39" s="178">
        <v>267.69</v>
      </c>
      <c r="D39" s="17"/>
      <c r="E39" s="166">
        <v>6</v>
      </c>
      <c r="F39" s="185">
        <f t="shared" si="0"/>
        <v>1606.1399999999999</v>
      </c>
      <c r="G39" s="6"/>
    </row>
    <row r="40" spans="1:8" ht="15" customHeight="1" x14ac:dyDescent="0.25">
      <c r="A40" s="20">
        <v>36</v>
      </c>
      <c r="B40" s="165" t="s">
        <v>302</v>
      </c>
      <c r="C40" s="178">
        <v>9.8000000000000007</v>
      </c>
      <c r="D40" s="17"/>
      <c r="E40" s="166">
        <v>5</v>
      </c>
      <c r="F40" s="185">
        <f>C41*E40</f>
        <v>153.30000000000001</v>
      </c>
      <c r="G40" s="6"/>
    </row>
    <row r="41" spans="1:8" ht="15" customHeight="1" x14ac:dyDescent="0.25">
      <c r="A41" s="20">
        <v>37</v>
      </c>
      <c r="B41" s="165" t="s">
        <v>95</v>
      </c>
      <c r="C41" s="178">
        <v>30.66</v>
      </c>
      <c r="D41" s="17"/>
      <c r="E41" s="166">
        <v>1</v>
      </c>
      <c r="F41" s="185">
        <f>C42*E41</f>
        <v>38</v>
      </c>
      <c r="G41" s="6"/>
    </row>
    <row r="42" spans="1:8" ht="15" customHeight="1" x14ac:dyDescent="0.25">
      <c r="A42" s="20">
        <v>38</v>
      </c>
      <c r="B42" s="165" t="s">
        <v>134</v>
      </c>
      <c r="C42" s="178">
        <v>38</v>
      </c>
      <c r="D42" s="17"/>
      <c r="E42" s="166">
        <v>16</v>
      </c>
      <c r="F42" s="185">
        <f>C42*E42</f>
        <v>608</v>
      </c>
      <c r="G42" s="51"/>
    </row>
    <row r="43" spans="1:8" ht="15" customHeight="1" x14ac:dyDescent="0.25">
      <c r="A43" s="20">
        <v>39</v>
      </c>
      <c r="B43" s="74" t="s">
        <v>232</v>
      </c>
      <c r="C43" s="125">
        <v>36.31</v>
      </c>
      <c r="D43" s="17"/>
      <c r="E43" s="167">
        <v>0</v>
      </c>
      <c r="F43" s="185">
        <f>C43*E43</f>
        <v>0</v>
      </c>
      <c r="G43" s="6"/>
    </row>
    <row r="44" spans="1:8" ht="15" customHeight="1" x14ac:dyDescent="0.25">
      <c r="A44" s="20">
        <v>40</v>
      </c>
      <c r="B44" s="74" t="s">
        <v>233</v>
      </c>
      <c r="C44" s="178">
        <v>23.7</v>
      </c>
      <c r="D44" s="17"/>
      <c r="E44" s="167">
        <v>0</v>
      </c>
      <c r="F44" s="185"/>
      <c r="G44" s="6"/>
    </row>
    <row r="45" spans="1:8" ht="15" customHeight="1" x14ac:dyDescent="0.25">
      <c r="A45" s="20">
        <v>41</v>
      </c>
      <c r="B45" s="165" t="s">
        <v>234</v>
      </c>
      <c r="C45" s="184"/>
      <c r="D45" s="5" t="s">
        <v>11</v>
      </c>
      <c r="E45" s="166">
        <v>0</v>
      </c>
      <c r="F45" s="185">
        <f t="shared" ref="F45:F54" si="1">C45*E45</f>
        <v>0</v>
      </c>
      <c r="G45" s="51"/>
    </row>
    <row r="46" spans="1:8" ht="15" customHeight="1" x14ac:dyDescent="0.25">
      <c r="A46" s="20">
        <v>42</v>
      </c>
      <c r="B46" s="74" t="s">
        <v>235</v>
      </c>
      <c r="C46" s="124">
        <v>62.14</v>
      </c>
      <c r="D46" s="5" t="s">
        <v>11</v>
      </c>
      <c r="E46" s="167">
        <v>0</v>
      </c>
      <c r="F46" s="185">
        <f t="shared" si="1"/>
        <v>0</v>
      </c>
      <c r="G46" s="6"/>
      <c r="H46" s="104"/>
    </row>
    <row r="47" spans="1:8" ht="15" customHeight="1" x14ac:dyDescent="0.25">
      <c r="A47" s="20">
        <v>43</v>
      </c>
      <c r="B47" s="74" t="s">
        <v>236</v>
      </c>
      <c r="C47" s="124">
        <v>4</v>
      </c>
      <c r="D47" s="17"/>
      <c r="E47" s="167">
        <v>3</v>
      </c>
      <c r="F47" s="185">
        <f t="shared" si="1"/>
        <v>12</v>
      </c>
      <c r="G47" s="6"/>
      <c r="H47" s="104"/>
    </row>
    <row r="48" spans="1:8" ht="15" customHeight="1" x14ac:dyDescent="0.25">
      <c r="A48" s="20">
        <v>44</v>
      </c>
      <c r="B48" s="165" t="s">
        <v>64</v>
      </c>
      <c r="C48" s="124">
        <v>4.8499999999999996</v>
      </c>
      <c r="D48" s="5" t="s">
        <v>11</v>
      </c>
      <c r="E48" s="166">
        <v>3</v>
      </c>
      <c r="F48" s="185">
        <f t="shared" si="1"/>
        <v>14.549999999999999</v>
      </c>
      <c r="G48" s="51"/>
      <c r="H48" s="104"/>
    </row>
    <row r="49" spans="1:8" ht="15" customHeight="1" x14ac:dyDescent="0.25">
      <c r="A49" s="20">
        <v>45</v>
      </c>
      <c r="B49" s="74" t="s">
        <v>237</v>
      </c>
      <c r="C49" s="179">
        <v>8.08</v>
      </c>
      <c r="D49" s="5" t="s">
        <v>11</v>
      </c>
      <c r="E49" s="166">
        <v>0</v>
      </c>
      <c r="F49" s="185">
        <f t="shared" si="1"/>
        <v>0</v>
      </c>
      <c r="G49" s="6"/>
      <c r="H49" s="104"/>
    </row>
    <row r="50" spans="1:8" ht="18" customHeight="1" x14ac:dyDescent="0.25">
      <c r="A50" s="20">
        <v>46</v>
      </c>
      <c r="B50" s="74" t="s">
        <v>238</v>
      </c>
      <c r="C50" s="124">
        <v>9</v>
      </c>
      <c r="D50" s="5" t="s">
        <v>11</v>
      </c>
      <c r="E50" s="166">
        <v>0</v>
      </c>
      <c r="F50" s="185">
        <f t="shared" si="1"/>
        <v>0</v>
      </c>
      <c r="G50" s="6"/>
    </row>
    <row r="51" spans="1:8" ht="15.75" customHeight="1" x14ac:dyDescent="0.25">
      <c r="A51" s="20">
        <v>47</v>
      </c>
      <c r="B51" s="74" t="s">
        <v>144</v>
      </c>
      <c r="C51" s="178">
        <v>41.39</v>
      </c>
      <c r="D51" s="5" t="s">
        <v>11</v>
      </c>
      <c r="E51" s="167">
        <v>5</v>
      </c>
      <c r="F51" s="185">
        <f t="shared" si="1"/>
        <v>206.95</v>
      </c>
      <c r="G51" s="6"/>
    </row>
    <row r="52" spans="1:8" ht="15.75" customHeight="1" x14ac:dyDescent="0.25">
      <c r="A52" s="20">
        <v>48</v>
      </c>
      <c r="B52" s="169" t="s">
        <v>251</v>
      </c>
      <c r="C52" s="124">
        <v>148.03</v>
      </c>
      <c r="D52" s="5" t="s">
        <v>11</v>
      </c>
      <c r="E52" s="167">
        <v>0</v>
      </c>
      <c r="F52" s="185">
        <f t="shared" si="1"/>
        <v>0</v>
      </c>
      <c r="G52" s="6"/>
    </row>
    <row r="53" spans="1:8" ht="15.75" customHeight="1" x14ac:dyDescent="0.25">
      <c r="A53" s="20">
        <v>50</v>
      </c>
      <c r="B53" s="292" t="s">
        <v>252</v>
      </c>
      <c r="C53" s="124">
        <v>24.55</v>
      </c>
      <c r="D53" s="5"/>
      <c r="E53" s="167">
        <v>31</v>
      </c>
      <c r="F53" s="185">
        <f t="shared" si="1"/>
        <v>761.05000000000007</v>
      </c>
      <c r="G53" s="6"/>
    </row>
    <row r="54" spans="1:8" ht="15.75" customHeight="1" x14ac:dyDescent="0.25">
      <c r="A54" s="20">
        <v>51</v>
      </c>
      <c r="B54" s="133" t="s">
        <v>69</v>
      </c>
      <c r="C54" s="178">
        <v>890.46</v>
      </c>
      <c r="D54" s="5" t="s">
        <v>11</v>
      </c>
      <c r="E54" s="166">
        <v>3</v>
      </c>
      <c r="F54" s="185">
        <f t="shared" si="1"/>
        <v>2671.38</v>
      </c>
      <c r="G54" s="6"/>
    </row>
    <row r="55" spans="1:8" ht="15.75" customHeight="1" x14ac:dyDescent="0.25">
      <c r="A55" s="20">
        <v>52</v>
      </c>
      <c r="B55" s="74" t="s">
        <v>253</v>
      </c>
      <c r="C55" s="178">
        <v>355</v>
      </c>
      <c r="D55" s="5" t="s">
        <v>11</v>
      </c>
      <c r="E55" s="167">
        <v>3</v>
      </c>
      <c r="F55" s="185">
        <f>C55*E55</f>
        <v>1065</v>
      </c>
      <c r="G55" s="6"/>
    </row>
    <row r="56" spans="1:8" ht="15.75" customHeight="1" x14ac:dyDescent="0.25">
      <c r="A56" s="20">
        <v>53</v>
      </c>
      <c r="B56" s="74" t="s">
        <v>254</v>
      </c>
      <c r="C56" s="178">
        <v>280.39</v>
      </c>
      <c r="D56" s="5" t="s">
        <v>11</v>
      </c>
      <c r="E56" s="167">
        <v>0</v>
      </c>
      <c r="F56" s="185">
        <f>C56*E56</f>
        <v>0</v>
      </c>
      <c r="G56" s="6"/>
    </row>
    <row r="57" spans="1:8" ht="15.75" customHeight="1" x14ac:dyDescent="0.25">
      <c r="A57" s="20">
        <v>54</v>
      </c>
      <c r="B57" s="74" t="s">
        <v>256</v>
      </c>
      <c r="C57" s="178">
        <v>385</v>
      </c>
      <c r="D57" s="5" t="s">
        <v>11</v>
      </c>
      <c r="E57" s="167">
        <v>3</v>
      </c>
      <c r="F57" s="185">
        <f>C57*E57</f>
        <v>1155</v>
      </c>
      <c r="G57" s="6"/>
    </row>
    <row r="58" spans="1:8" ht="15.75" customHeight="1" x14ac:dyDescent="0.25">
      <c r="A58" s="20">
        <v>55</v>
      </c>
      <c r="B58" s="133" t="s">
        <v>73</v>
      </c>
      <c r="C58" s="183">
        <v>311.64999999999998</v>
      </c>
      <c r="D58" s="5" t="s">
        <v>11</v>
      </c>
      <c r="E58" s="166">
        <v>3</v>
      </c>
      <c r="F58" s="185">
        <f>C58*E58</f>
        <v>934.94999999999993</v>
      </c>
      <c r="G58" s="6"/>
    </row>
    <row r="59" spans="1:8" ht="15.75" customHeight="1" x14ac:dyDescent="0.25">
      <c r="A59" s="121"/>
      <c r="B59" s="87"/>
      <c r="C59" s="147"/>
      <c r="D59" s="85"/>
      <c r="E59" s="148"/>
      <c r="F59" s="157">
        <f>SUM(F5:F58)</f>
        <v>22564.51</v>
      </c>
      <c r="G59" s="149"/>
    </row>
    <row r="60" spans="1:8" x14ac:dyDescent="0.25">
      <c r="A60" s="496"/>
      <c r="B60" s="497"/>
      <c r="C60" s="497"/>
      <c r="D60" s="497"/>
      <c r="E60" s="497"/>
      <c r="F60" s="497"/>
      <c r="G60" s="498"/>
    </row>
    <row r="61" spans="1:8" x14ac:dyDescent="0.25">
      <c r="A61" s="486" t="s">
        <v>303</v>
      </c>
      <c r="B61" s="486"/>
      <c r="C61" s="486"/>
      <c r="D61" s="486"/>
      <c r="E61" s="486"/>
      <c r="F61" s="486"/>
      <c r="G61" s="487"/>
    </row>
    <row r="62" spans="1:8" x14ac:dyDescent="0.25">
      <c r="A62" s="120" t="s">
        <v>3</v>
      </c>
      <c r="B62" s="120" t="s">
        <v>4</v>
      </c>
      <c r="C62" s="120" t="s">
        <v>5</v>
      </c>
      <c r="D62" s="118" t="s">
        <v>6</v>
      </c>
      <c r="E62" s="118" t="s">
        <v>7</v>
      </c>
      <c r="F62" s="118" t="s">
        <v>8</v>
      </c>
      <c r="G62" s="118" t="s">
        <v>9</v>
      </c>
    </row>
    <row r="63" spans="1:8" x14ac:dyDescent="0.25">
      <c r="A63" s="493" t="s">
        <v>75</v>
      </c>
      <c r="B63" s="494"/>
      <c r="C63" s="494"/>
      <c r="D63" s="494"/>
      <c r="E63" s="494"/>
      <c r="F63" s="494"/>
      <c r="G63" s="495"/>
    </row>
    <row r="64" spans="1:8" x14ac:dyDescent="0.25">
      <c r="A64" s="106">
        <v>1</v>
      </c>
      <c r="B64" s="151" t="s">
        <v>258</v>
      </c>
      <c r="C64" s="134">
        <v>44</v>
      </c>
      <c r="D64" s="5" t="s">
        <v>11</v>
      </c>
      <c r="E64" s="152">
        <v>0</v>
      </c>
      <c r="F64" s="182">
        <f>C64*E64</f>
        <v>0</v>
      </c>
      <c r="G64" s="6"/>
    </row>
    <row r="65" spans="1:7" x14ac:dyDescent="0.25">
      <c r="A65" s="106">
        <v>2</v>
      </c>
      <c r="B65" s="151" t="s">
        <v>259</v>
      </c>
      <c r="C65" s="134">
        <v>65</v>
      </c>
      <c r="D65" s="5" t="s">
        <v>11</v>
      </c>
      <c r="E65" s="153">
        <v>0</v>
      </c>
      <c r="F65" s="182">
        <f>C65*E65</f>
        <v>0</v>
      </c>
      <c r="G65" s="6"/>
    </row>
    <row r="66" spans="1:7" x14ac:dyDescent="0.25">
      <c r="A66" s="106">
        <v>3</v>
      </c>
      <c r="B66" s="151" t="s">
        <v>260</v>
      </c>
      <c r="C66" s="134">
        <v>98.7</v>
      </c>
      <c r="D66" s="5" t="s">
        <v>11</v>
      </c>
      <c r="E66" s="153">
        <v>0</v>
      </c>
      <c r="F66" s="182">
        <f>C66*E66</f>
        <v>0</v>
      </c>
      <c r="G66" s="6"/>
    </row>
    <row r="67" spans="1:7" x14ac:dyDescent="0.25">
      <c r="A67" s="106">
        <v>4</v>
      </c>
      <c r="B67" s="151" t="s">
        <v>261</v>
      </c>
      <c r="C67" s="134">
        <v>143.56</v>
      </c>
      <c r="D67" s="5" t="s">
        <v>11</v>
      </c>
      <c r="E67" s="153">
        <v>0</v>
      </c>
      <c r="F67" s="182">
        <f>C67*E67</f>
        <v>0</v>
      </c>
      <c r="G67" s="6"/>
    </row>
    <row r="68" spans="1:7" x14ac:dyDescent="0.25">
      <c r="A68" s="489" t="s">
        <v>163</v>
      </c>
      <c r="B68" s="489"/>
      <c r="C68" s="489"/>
      <c r="D68" s="489"/>
      <c r="E68" s="489"/>
      <c r="F68" s="489"/>
      <c r="G68" s="489"/>
    </row>
    <row r="69" spans="1:7" x14ac:dyDescent="0.25">
      <c r="A69" s="106">
        <v>1</v>
      </c>
      <c r="B69" s="151" t="s">
        <v>258</v>
      </c>
      <c r="C69" s="134">
        <v>44</v>
      </c>
      <c r="D69" s="5" t="s">
        <v>11</v>
      </c>
      <c r="E69" s="152"/>
      <c r="F69" s="182">
        <f>C69*E69</f>
        <v>0</v>
      </c>
      <c r="G69" s="6"/>
    </row>
    <row r="70" spans="1:7" x14ac:dyDescent="0.25">
      <c r="A70" s="106">
        <v>2</v>
      </c>
      <c r="B70" s="151" t="s">
        <v>259</v>
      </c>
      <c r="C70" s="134">
        <v>65</v>
      </c>
      <c r="D70" s="5" t="s">
        <v>11</v>
      </c>
      <c r="E70" s="152"/>
      <c r="F70" s="182">
        <f>C70*E70</f>
        <v>0</v>
      </c>
      <c r="G70" s="6"/>
    </row>
    <row r="71" spans="1:7" x14ac:dyDescent="0.25">
      <c r="A71" s="106">
        <v>3</v>
      </c>
      <c r="B71" s="151" t="s">
        <v>260</v>
      </c>
      <c r="C71" s="134">
        <v>98.7</v>
      </c>
      <c r="D71" s="5" t="s">
        <v>11</v>
      </c>
      <c r="E71" s="152"/>
      <c r="F71" s="182">
        <f>C71*E71</f>
        <v>0</v>
      </c>
      <c r="G71" s="6"/>
    </row>
    <row r="72" spans="1:7" x14ac:dyDescent="0.25">
      <c r="A72" s="106">
        <v>4</v>
      </c>
      <c r="B72" s="151" t="s">
        <v>261</v>
      </c>
      <c r="C72" s="134">
        <v>143.56</v>
      </c>
      <c r="D72" s="5" t="s">
        <v>11</v>
      </c>
      <c r="E72" s="155"/>
      <c r="F72" s="182">
        <f>C72*E72</f>
        <v>0</v>
      </c>
      <c r="G72" s="6"/>
    </row>
    <row r="73" spans="1:7" x14ac:dyDescent="0.25">
      <c r="A73" s="88"/>
      <c r="B73" s="87"/>
      <c r="C73" s="89"/>
      <c r="D73" s="154"/>
      <c r="E73" s="148"/>
      <c r="F73" s="156" cm="1">
        <f t="array" ref="F73">SUM(F64:F67+F69:F72)</f>
        <v>0</v>
      </c>
      <c r="G73" s="90"/>
    </row>
  </sheetData>
  <mergeCells count="7">
    <mergeCell ref="A68:G68"/>
    <mergeCell ref="A1:G1"/>
    <mergeCell ref="A2:G2"/>
    <mergeCell ref="A3:G3"/>
    <mergeCell ref="A60:G60"/>
    <mergeCell ref="A61:G61"/>
    <mergeCell ref="A63:G6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BB77-8945-45C7-8C71-AFCD880C0F40}">
  <sheetPr>
    <tabColor rgb="FFA9D08E"/>
  </sheetPr>
  <dimension ref="A1:H48"/>
  <sheetViews>
    <sheetView workbookViewId="0">
      <selection activeCell="F5" sqref="F5:F36"/>
    </sheetView>
  </sheetViews>
  <sheetFormatPr defaultRowHeight="15" x14ac:dyDescent="0.25"/>
  <cols>
    <col min="2" max="2" width="56.85546875" customWidth="1"/>
    <col min="3" max="3" width="12.28515625" customWidth="1"/>
    <col min="4" max="4" width="14" customWidth="1"/>
    <col min="5" max="6" width="12.7109375" customWidth="1"/>
    <col min="7" max="7" width="14.140625" customWidth="1"/>
    <col min="8" max="8" width="14.7109375" bestFit="1" customWidth="1"/>
  </cols>
  <sheetData>
    <row r="1" spans="1:7" ht="18" customHeight="1" x14ac:dyDescent="0.25">
      <c r="A1" s="443" t="s">
        <v>316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317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318</v>
      </c>
      <c r="B3" s="457"/>
      <c r="C3" s="457"/>
      <c r="D3" s="457"/>
      <c r="E3" s="457"/>
      <c r="F3" s="457"/>
      <c r="G3" s="458"/>
    </row>
    <row r="4" spans="1:7" x14ac:dyDescent="0.25">
      <c r="A4" s="14" t="s">
        <v>3</v>
      </c>
      <c r="B4" s="14" t="s">
        <v>4</v>
      </c>
      <c r="C4" s="60" t="s">
        <v>5</v>
      </c>
      <c r="D4" s="2" t="s">
        <v>6</v>
      </c>
      <c r="E4" s="2" t="s">
        <v>7</v>
      </c>
      <c r="F4" s="61" t="s">
        <v>8</v>
      </c>
      <c r="G4" s="12" t="s">
        <v>9</v>
      </c>
    </row>
    <row r="5" spans="1:7" x14ac:dyDescent="0.25">
      <c r="A5" s="15">
        <v>1</v>
      </c>
      <c r="B5" s="3" t="s">
        <v>86</v>
      </c>
      <c r="C5" s="70">
        <v>104.29</v>
      </c>
      <c r="D5" s="4">
        <v>34</v>
      </c>
      <c r="E5" s="346">
        <v>0</v>
      </c>
      <c r="F5" s="68">
        <f t="shared" ref="F5:F36" si="0">C5*E5</f>
        <v>0</v>
      </c>
      <c r="G5" s="13"/>
    </row>
    <row r="6" spans="1:7" x14ac:dyDescent="0.25">
      <c r="A6" s="15">
        <v>2</v>
      </c>
      <c r="B6" s="3" t="s">
        <v>86</v>
      </c>
      <c r="C6" s="70">
        <v>104.29</v>
      </c>
      <c r="D6" s="343">
        <v>35</v>
      </c>
      <c r="E6" s="347">
        <v>0</v>
      </c>
      <c r="F6" s="68">
        <f t="shared" si="0"/>
        <v>0</v>
      </c>
      <c r="G6" s="13"/>
    </row>
    <row r="7" spans="1:7" x14ac:dyDescent="0.25">
      <c r="A7" s="15">
        <v>3</v>
      </c>
      <c r="B7" s="3" t="s">
        <v>86</v>
      </c>
      <c r="C7" s="70">
        <v>104.29</v>
      </c>
      <c r="D7" s="343">
        <v>36</v>
      </c>
      <c r="E7" s="347">
        <v>0</v>
      </c>
      <c r="F7" s="68">
        <f t="shared" si="0"/>
        <v>0</v>
      </c>
      <c r="G7" s="13"/>
    </row>
    <row r="8" spans="1:7" x14ac:dyDescent="0.25">
      <c r="A8" s="15">
        <v>4</v>
      </c>
      <c r="B8" s="3" t="s">
        <v>86</v>
      </c>
      <c r="C8" s="70">
        <v>104.29</v>
      </c>
      <c r="D8" s="344">
        <v>37</v>
      </c>
      <c r="E8" s="347">
        <v>0</v>
      </c>
      <c r="F8" s="68">
        <f t="shared" si="0"/>
        <v>0</v>
      </c>
      <c r="G8" s="13"/>
    </row>
    <row r="9" spans="1:7" x14ac:dyDescent="0.25">
      <c r="A9" s="15">
        <v>5</v>
      </c>
      <c r="B9" s="3" t="s">
        <v>86</v>
      </c>
      <c r="C9" s="70">
        <v>104.29</v>
      </c>
      <c r="D9" s="345">
        <v>38</v>
      </c>
      <c r="E9" s="347">
        <v>18</v>
      </c>
      <c r="F9" s="68">
        <f t="shared" si="0"/>
        <v>1877.22</v>
      </c>
      <c r="G9" s="13"/>
    </row>
    <row r="10" spans="1:7" x14ac:dyDescent="0.25">
      <c r="A10" s="15">
        <v>6</v>
      </c>
      <c r="B10" s="3" t="s">
        <v>86</v>
      </c>
      <c r="C10" s="70">
        <v>104.29</v>
      </c>
      <c r="D10" s="343">
        <v>39</v>
      </c>
      <c r="E10" s="347">
        <v>28</v>
      </c>
      <c r="F10" s="68">
        <f t="shared" si="0"/>
        <v>2920.1200000000003</v>
      </c>
      <c r="G10" s="13"/>
    </row>
    <row r="11" spans="1:7" x14ac:dyDescent="0.25">
      <c r="A11" s="15">
        <v>7</v>
      </c>
      <c r="B11" s="3" t="s">
        <v>86</v>
      </c>
      <c r="C11" s="70">
        <v>104.29</v>
      </c>
      <c r="D11" s="343">
        <v>40</v>
      </c>
      <c r="E11" s="347">
        <v>8</v>
      </c>
      <c r="F11" s="68">
        <f t="shared" si="0"/>
        <v>834.32</v>
      </c>
      <c r="G11" s="13"/>
    </row>
    <row r="12" spans="1:7" x14ac:dyDescent="0.25">
      <c r="A12" s="15">
        <v>8</v>
      </c>
      <c r="B12" s="3" t="s">
        <v>86</v>
      </c>
      <c r="C12" s="70">
        <v>104.29</v>
      </c>
      <c r="D12" s="344">
        <v>41</v>
      </c>
      <c r="E12" s="347">
        <v>11</v>
      </c>
      <c r="F12" s="68">
        <f t="shared" si="0"/>
        <v>1147.19</v>
      </c>
      <c r="G12" s="13"/>
    </row>
    <row r="13" spans="1:7" x14ac:dyDescent="0.25">
      <c r="A13" s="15">
        <v>9</v>
      </c>
      <c r="B13" s="3" t="s">
        <v>86</v>
      </c>
      <c r="C13" s="70">
        <v>104.29</v>
      </c>
      <c r="D13" s="344">
        <v>42</v>
      </c>
      <c r="E13" s="347">
        <v>16</v>
      </c>
      <c r="F13" s="68">
        <f t="shared" si="0"/>
        <v>1668.64</v>
      </c>
      <c r="G13" s="13"/>
    </row>
    <row r="14" spans="1:7" x14ac:dyDescent="0.25">
      <c r="A14" s="15">
        <v>10</v>
      </c>
      <c r="B14" s="3" t="s">
        <v>86</v>
      </c>
      <c r="C14" s="70">
        <v>104.29</v>
      </c>
      <c r="D14" s="344">
        <v>43</v>
      </c>
      <c r="E14" s="347">
        <v>0</v>
      </c>
      <c r="F14" s="68">
        <f t="shared" si="0"/>
        <v>0</v>
      </c>
      <c r="G14" s="13"/>
    </row>
    <row r="15" spans="1:7" x14ac:dyDescent="0.25">
      <c r="A15" s="15">
        <v>11</v>
      </c>
      <c r="B15" s="3" t="s">
        <v>86</v>
      </c>
      <c r="C15" s="70">
        <v>104.29</v>
      </c>
      <c r="D15" s="344">
        <v>44</v>
      </c>
      <c r="E15" s="347">
        <v>5</v>
      </c>
      <c r="F15" s="68">
        <f t="shared" si="0"/>
        <v>521.45000000000005</v>
      </c>
      <c r="G15" s="13"/>
    </row>
    <row r="16" spans="1:7" x14ac:dyDescent="0.25">
      <c r="A16" s="15">
        <v>12</v>
      </c>
      <c r="B16" s="3" t="s">
        <v>86</v>
      </c>
      <c r="C16" s="70">
        <v>104.29</v>
      </c>
      <c r="D16" s="344">
        <v>45</v>
      </c>
      <c r="E16" s="347">
        <v>0</v>
      </c>
      <c r="F16" s="68">
        <f t="shared" si="0"/>
        <v>0</v>
      </c>
      <c r="G16" s="13"/>
    </row>
    <row r="17" spans="1:7" x14ac:dyDescent="0.25">
      <c r="A17" s="15">
        <v>13</v>
      </c>
      <c r="B17" s="3" t="s">
        <v>86</v>
      </c>
      <c r="C17" s="70">
        <v>104.29</v>
      </c>
      <c r="D17" s="344">
        <v>46</v>
      </c>
      <c r="E17" s="347">
        <v>1</v>
      </c>
      <c r="F17" s="68">
        <f t="shared" si="0"/>
        <v>104.29</v>
      </c>
      <c r="G17" s="13"/>
    </row>
    <row r="18" spans="1:7" x14ac:dyDescent="0.25">
      <c r="A18" s="15">
        <v>14</v>
      </c>
      <c r="B18" s="8" t="s">
        <v>87</v>
      </c>
      <c r="C18" s="69">
        <v>40</v>
      </c>
      <c r="D18" s="3" t="s">
        <v>31</v>
      </c>
      <c r="E18" s="32">
        <v>0</v>
      </c>
      <c r="F18" s="68">
        <f t="shared" si="0"/>
        <v>0</v>
      </c>
      <c r="G18" s="13"/>
    </row>
    <row r="19" spans="1:7" x14ac:dyDescent="0.25">
      <c r="A19" s="15">
        <v>15</v>
      </c>
      <c r="B19" s="8" t="s">
        <v>87</v>
      </c>
      <c r="C19" s="69">
        <v>40</v>
      </c>
      <c r="D19" s="3" t="s">
        <v>28</v>
      </c>
      <c r="E19" s="5">
        <v>13</v>
      </c>
      <c r="F19" s="68">
        <f t="shared" si="0"/>
        <v>520</v>
      </c>
      <c r="G19" s="13"/>
    </row>
    <row r="20" spans="1:7" x14ac:dyDescent="0.25">
      <c r="A20" s="15">
        <v>16</v>
      </c>
      <c r="B20" s="8" t="s">
        <v>87</v>
      </c>
      <c r="C20" s="69">
        <v>40</v>
      </c>
      <c r="D20" s="6" t="s">
        <v>29</v>
      </c>
      <c r="E20" s="5">
        <v>19</v>
      </c>
      <c r="F20" s="68">
        <f t="shared" si="0"/>
        <v>760</v>
      </c>
      <c r="G20" s="13"/>
    </row>
    <row r="21" spans="1:7" x14ac:dyDescent="0.25">
      <c r="A21" s="15">
        <v>17</v>
      </c>
      <c r="B21" s="8" t="s">
        <v>87</v>
      </c>
      <c r="C21" s="69">
        <v>40</v>
      </c>
      <c r="D21" s="3" t="s">
        <v>37</v>
      </c>
      <c r="E21" s="5">
        <v>0</v>
      </c>
      <c r="F21" s="68">
        <f t="shared" si="0"/>
        <v>0</v>
      </c>
      <c r="G21" s="13"/>
    </row>
    <row r="22" spans="1:7" x14ac:dyDescent="0.25">
      <c r="A22" s="15">
        <v>18</v>
      </c>
      <c r="B22" s="9" t="s">
        <v>40</v>
      </c>
      <c r="C22" s="68">
        <v>87.97</v>
      </c>
      <c r="D22" s="3"/>
      <c r="E22" s="5">
        <v>87</v>
      </c>
      <c r="F22" s="68">
        <f t="shared" si="0"/>
        <v>7653.39</v>
      </c>
      <c r="G22" s="13"/>
    </row>
    <row r="23" spans="1:7" x14ac:dyDescent="0.25">
      <c r="A23" s="15">
        <v>19</v>
      </c>
      <c r="B23" s="7" t="s">
        <v>127</v>
      </c>
      <c r="C23" s="71">
        <v>39</v>
      </c>
      <c r="D23" s="6"/>
      <c r="E23" s="5">
        <v>16</v>
      </c>
      <c r="F23" s="68">
        <f t="shared" si="0"/>
        <v>624</v>
      </c>
      <c r="G23" s="13"/>
    </row>
    <row r="24" spans="1:7" x14ac:dyDescent="0.25">
      <c r="A24" s="15">
        <v>21</v>
      </c>
      <c r="B24" s="9" t="s">
        <v>96</v>
      </c>
      <c r="C24" s="68">
        <v>38</v>
      </c>
      <c r="D24" s="6"/>
      <c r="E24" s="5">
        <v>65</v>
      </c>
      <c r="F24" s="68">
        <f t="shared" si="0"/>
        <v>2470</v>
      </c>
      <c r="G24" s="13"/>
    </row>
    <row r="25" spans="1:7" x14ac:dyDescent="0.25">
      <c r="A25" s="15">
        <v>22</v>
      </c>
      <c r="B25" s="9" t="s">
        <v>64</v>
      </c>
      <c r="C25" s="72">
        <v>4.8499999999999996</v>
      </c>
      <c r="D25" s="6"/>
      <c r="E25" s="5">
        <v>59</v>
      </c>
      <c r="F25" s="68">
        <f t="shared" si="0"/>
        <v>286.14999999999998</v>
      </c>
      <c r="G25" s="13"/>
    </row>
    <row r="26" spans="1:7" x14ac:dyDescent="0.25">
      <c r="A26" s="15">
        <v>23</v>
      </c>
      <c r="B26" s="10" t="s">
        <v>63</v>
      </c>
      <c r="C26" s="73">
        <v>4</v>
      </c>
      <c r="D26" s="6"/>
      <c r="E26" s="5">
        <v>39</v>
      </c>
      <c r="F26" s="68">
        <f t="shared" si="0"/>
        <v>156</v>
      </c>
      <c r="G26" s="13"/>
    </row>
    <row r="27" spans="1:7" x14ac:dyDescent="0.25">
      <c r="A27" s="15">
        <v>24</v>
      </c>
      <c r="B27" s="10" t="s">
        <v>42</v>
      </c>
      <c r="C27" s="68">
        <v>21</v>
      </c>
      <c r="D27" s="6"/>
      <c r="E27" s="5">
        <v>50</v>
      </c>
      <c r="F27" s="68">
        <f t="shared" si="0"/>
        <v>1050</v>
      </c>
      <c r="G27" s="13"/>
    </row>
    <row r="28" spans="1:7" x14ac:dyDescent="0.25">
      <c r="A28" s="15">
        <v>25</v>
      </c>
      <c r="B28" s="9" t="s">
        <v>311</v>
      </c>
      <c r="C28" s="68">
        <v>28.94</v>
      </c>
      <c r="D28" s="6"/>
      <c r="E28" s="5">
        <v>13</v>
      </c>
      <c r="F28" s="68">
        <f t="shared" si="0"/>
        <v>376.22</v>
      </c>
      <c r="G28" s="13"/>
    </row>
    <row r="29" spans="1:7" x14ac:dyDescent="0.25">
      <c r="A29" s="15">
        <v>26</v>
      </c>
      <c r="B29" s="8" t="s">
        <v>312</v>
      </c>
      <c r="C29" s="68">
        <v>15.19</v>
      </c>
      <c r="D29" s="6"/>
      <c r="E29" s="5">
        <v>66</v>
      </c>
      <c r="F29" s="68">
        <f t="shared" si="0"/>
        <v>1002.54</v>
      </c>
      <c r="G29" s="13"/>
    </row>
    <row r="30" spans="1:7" ht="15" customHeight="1" x14ac:dyDescent="0.25">
      <c r="A30" s="15">
        <v>28</v>
      </c>
      <c r="B30" s="11" t="s">
        <v>10</v>
      </c>
      <c r="C30" s="68">
        <v>126.1</v>
      </c>
      <c r="D30" s="6"/>
      <c r="E30" s="5">
        <v>39</v>
      </c>
      <c r="F30" s="68">
        <f t="shared" si="0"/>
        <v>4917.8999999999996</v>
      </c>
      <c r="G30" s="13"/>
    </row>
    <row r="31" spans="1:7" ht="15" customHeight="1" x14ac:dyDescent="0.25">
      <c r="A31" s="15">
        <v>29</v>
      </c>
      <c r="B31" s="11" t="s">
        <v>38</v>
      </c>
      <c r="C31" s="68">
        <v>75</v>
      </c>
      <c r="D31" s="6"/>
      <c r="E31" s="5">
        <v>14</v>
      </c>
      <c r="F31" s="68">
        <f t="shared" si="0"/>
        <v>1050</v>
      </c>
      <c r="G31" s="13"/>
    </row>
    <row r="32" spans="1:7" ht="15" customHeight="1" x14ac:dyDescent="0.25">
      <c r="A32" s="15">
        <v>30</v>
      </c>
      <c r="B32" s="11" t="s">
        <v>41</v>
      </c>
      <c r="C32" s="68">
        <v>584.20000000000005</v>
      </c>
      <c r="D32" s="6"/>
      <c r="E32" s="5">
        <v>32</v>
      </c>
      <c r="F32" s="68">
        <f t="shared" si="0"/>
        <v>18694.400000000001</v>
      </c>
      <c r="G32" s="13"/>
    </row>
    <row r="33" spans="1:8" ht="18" customHeight="1" x14ac:dyDescent="0.25">
      <c r="A33" s="15">
        <v>31</v>
      </c>
      <c r="B33" s="11" t="s">
        <v>69</v>
      </c>
      <c r="C33" s="68">
        <v>890.46</v>
      </c>
      <c r="D33" s="6"/>
      <c r="E33" s="5">
        <v>4</v>
      </c>
      <c r="F33" s="68">
        <f t="shared" si="0"/>
        <v>3561.84</v>
      </c>
      <c r="G33" s="13"/>
    </row>
    <row r="34" spans="1:8" ht="18" customHeight="1" x14ac:dyDescent="0.25">
      <c r="A34" s="15">
        <v>32</v>
      </c>
      <c r="B34" s="11" t="s">
        <v>70</v>
      </c>
      <c r="C34" s="68">
        <v>355</v>
      </c>
      <c r="D34" s="6"/>
      <c r="E34" s="5">
        <v>18</v>
      </c>
      <c r="F34" s="68">
        <f t="shared" si="0"/>
        <v>6390</v>
      </c>
      <c r="G34" s="13"/>
    </row>
    <row r="35" spans="1:8" ht="18" customHeight="1" x14ac:dyDescent="0.25">
      <c r="A35" s="15">
        <v>33</v>
      </c>
      <c r="B35" s="11" t="s">
        <v>71</v>
      </c>
      <c r="C35" s="68">
        <v>280.39</v>
      </c>
      <c r="D35" s="6"/>
      <c r="E35" s="5">
        <v>4</v>
      </c>
      <c r="F35" s="68">
        <f t="shared" si="0"/>
        <v>1121.56</v>
      </c>
      <c r="G35" s="13"/>
    </row>
    <row r="36" spans="1:8" ht="18" customHeight="1" x14ac:dyDescent="0.25">
      <c r="A36" s="15">
        <v>34</v>
      </c>
      <c r="B36" s="11" t="s">
        <v>73</v>
      </c>
      <c r="C36" s="68">
        <v>311.64999999999998</v>
      </c>
      <c r="D36" s="6"/>
      <c r="E36" s="5">
        <v>16</v>
      </c>
      <c r="F36" s="68">
        <f t="shared" si="0"/>
        <v>4986.3999999999996</v>
      </c>
      <c r="G36" s="13"/>
      <c r="H36" s="96">
        <f>'ESTOQUE CWN - DF'!F46+'ESTOQUE CWN - MT'!F37+'ESTOQUE CWN - MS'!F54</f>
        <v>93932.98000000001</v>
      </c>
    </row>
    <row r="37" spans="1:8" ht="18" customHeight="1" x14ac:dyDescent="0.25">
      <c r="A37" s="503" t="s">
        <v>75</v>
      </c>
      <c r="B37" s="503"/>
      <c r="C37" s="503"/>
      <c r="D37" s="503"/>
      <c r="E37" s="503"/>
      <c r="F37" s="503"/>
      <c r="G37" s="503"/>
    </row>
    <row r="38" spans="1:8" ht="18" customHeight="1" x14ac:dyDescent="0.25">
      <c r="A38" s="33">
        <v>35</v>
      </c>
      <c r="B38" s="34" t="s">
        <v>76</v>
      </c>
      <c r="C38" s="34"/>
      <c r="D38" s="44"/>
      <c r="E38" s="35">
        <v>0</v>
      </c>
      <c r="F38" s="62"/>
      <c r="G38" s="36"/>
    </row>
    <row r="39" spans="1:8" x14ac:dyDescent="0.25">
      <c r="A39" s="33">
        <v>36</v>
      </c>
      <c r="B39" s="34" t="s">
        <v>77</v>
      </c>
      <c r="C39" s="34"/>
      <c r="D39" s="44"/>
      <c r="E39" s="35">
        <v>0</v>
      </c>
      <c r="F39" s="62"/>
      <c r="G39" s="36"/>
    </row>
    <row r="40" spans="1:8" ht="18" customHeight="1" x14ac:dyDescent="0.25">
      <c r="A40" s="33">
        <v>37</v>
      </c>
      <c r="B40" s="34" t="s">
        <v>78</v>
      </c>
      <c r="C40" s="34"/>
      <c r="D40" s="44"/>
      <c r="E40" s="35">
        <v>0</v>
      </c>
      <c r="F40" s="62"/>
      <c r="G40" s="36"/>
    </row>
    <row r="41" spans="1:8" ht="18" customHeight="1" x14ac:dyDescent="0.25">
      <c r="A41" s="37">
        <v>38</v>
      </c>
      <c r="B41" s="38" t="s">
        <v>79</v>
      </c>
      <c r="C41" s="38"/>
      <c r="D41" s="45"/>
      <c r="E41" s="35">
        <v>0</v>
      </c>
      <c r="F41" s="63"/>
      <c r="G41" s="40"/>
    </row>
    <row r="42" spans="1:8" x14ac:dyDescent="0.25">
      <c r="A42" s="507" t="s">
        <v>163</v>
      </c>
      <c r="B42" s="507"/>
      <c r="C42" s="507"/>
      <c r="D42" s="507"/>
      <c r="E42" s="507"/>
      <c r="F42" s="507"/>
      <c r="G42" s="507"/>
    </row>
    <row r="43" spans="1:8" x14ac:dyDescent="0.25">
      <c r="A43" s="41">
        <v>39</v>
      </c>
      <c r="B43" s="42" t="s">
        <v>76</v>
      </c>
      <c r="C43" s="42"/>
      <c r="D43" s="43"/>
      <c r="E43" s="35">
        <v>10</v>
      </c>
      <c r="F43" s="65"/>
      <c r="G43" s="43"/>
    </row>
    <row r="44" spans="1:8" x14ac:dyDescent="0.25">
      <c r="A44" s="41">
        <v>40</v>
      </c>
      <c r="B44" s="42" t="s">
        <v>77</v>
      </c>
      <c r="C44" s="42"/>
      <c r="D44" s="43"/>
      <c r="E44" s="35">
        <v>50</v>
      </c>
      <c r="F44" s="65"/>
      <c r="G44" s="43"/>
    </row>
    <row r="45" spans="1:8" x14ac:dyDescent="0.25">
      <c r="A45" s="41">
        <v>41</v>
      </c>
      <c r="B45" s="42" t="s">
        <v>78</v>
      </c>
      <c r="C45" s="42"/>
      <c r="D45" s="43"/>
      <c r="E45" s="35">
        <v>110</v>
      </c>
      <c r="F45" s="65"/>
      <c r="G45" s="43"/>
    </row>
    <row r="46" spans="1:8" x14ac:dyDescent="0.25">
      <c r="A46" s="41">
        <v>42</v>
      </c>
      <c r="B46" s="42" t="s">
        <v>79</v>
      </c>
      <c r="C46" s="42"/>
      <c r="D46" s="43"/>
      <c r="E46" s="35">
        <v>15</v>
      </c>
      <c r="F46" s="65"/>
      <c r="G46" s="43"/>
    </row>
    <row r="48" spans="1:8" x14ac:dyDescent="0.25">
      <c r="B48" s="348" t="s">
        <v>313</v>
      </c>
      <c r="C48" s="54"/>
    </row>
  </sheetData>
  <mergeCells count="5">
    <mergeCell ref="A1:G1"/>
    <mergeCell ref="A2:G2"/>
    <mergeCell ref="A3:G3"/>
    <mergeCell ref="A37:G37"/>
    <mergeCell ref="A42:G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C2BD-1A00-49AD-8B9C-F6DC9FAC447A}">
  <sheetPr>
    <tabColor rgb="FFA9D08E"/>
  </sheetPr>
  <dimension ref="A1:H60"/>
  <sheetViews>
    <sheetView workbookViewId="0">
      <selection activeCell="E25" sqref="E25:E26"/>
    </sheetView>
  </sheetViews>
  <sheetFormatPr defaultRowHeight="15" x14ac:dyDescent="0.25"/>
  <cols>
    <col min="2" max="2" width="40.85546875" customWidth="1"/>
    <col min="3" max="3" width="13.85546875" customWidth="1"/>
    <col min="4" max="4" width="10.140625" customWidth="1"/>
    <col min="5" max="6" width="12.7109375" customWidth="1"/>
    <col min="7" max="7" width="14.140625" customWidth="1"/>
    <col min="8" max="8" width="9.85546875" bestFit="1" customWidth="1"/>
  </cols>
  <sheetData>
    <row r="1" spans="1:7" ht="18" customHeight="1" x14ac:dyDescent="0.25">
      <c r="A1" s="511" t="s">
        <v>297</v>
      </c>
      <c r="B1" s="512"/>
      <c r="C1" s="512"/>
      <c r="D1" s="512"/>
      <c r="E1" s="512"/>
      <c r="F1" s="512"/>
      <c r="G1" s="513"/>
    </row>
    <row r="2" spans="1:7" ht="18" customHeight="1" x14ac:dyDescent="0.25">
      <c r="A2" s="511" t="s">
        <v>319</v>
      </c>
      <c r="B2" s="512"/>
      <c r="C2" s="512"/>
      <c r="D2" s="512"/>
      <c r="E2" s="512"/>
      <c r="F2" s="512"/>
      <c r="G2" s="513"/>
    </row>
    <row r="3" spans="1:7" ht="18" customHeight="1" x14ac:dyDescent="0.25">
      <c r="A3" s="511" t="s">
        <v>320</v>
      </c>
      <c r="B3" s="512"/>
      <c r="C3" s="512"/>
      <c r="D3" s="512"/>
      <c r="E3" s="512"/>
      <c r="F3" s="512"/>
      <c r="G3" s="513"/>
    </row>
    <row r="4" spans="1:7" x14ac:dyDescent="0.25">
      <c r="A4" s="273" t="s">
        <v>3</v>
      </c>
      <c r="B4" s="273" t="s">
        <v>4</v>
      </c>
      <c r="C4" s="273" t="s">
        <v>5</v>
      </c>
      <c r="D4" s="274" t="s">
        <v>6</v>
      </c>
      <c r="E4" s="274" t="s">
        <v>7</v>
      </c>
      <c r="F4" s="274" t="s">
        <v>8</v>
      </c>
      <c r="G4" s="274" t="s">
        <v>9</v>
      </c>
    </row>
    <row r="5" spans="1:7" x14ac:dyDescent="0.25">
      <c r="A5" s="135">
        <v>1</v>
      </c>
      <c r="B5" s="269" t="s">
        <v>10</v>
      </c>
      <c r="C5" s="328">
        <v>126.1</v>
      </c>
      <c r="D5" s="19" t="s">
        <v>11</v>
      </c>
      <c r="E5" s="135">
        <v>8</v>
      </c>
      <c r="F5" s="328">
        <f t="shared" ref="F5:F45" si="0">C5*E5</f>
        <v>1008.8</v>
      </c>
      <c r="G5" s="132"/>
    </row>
    <row r="6" spans="1:7" x14ac:dyDescent="0.25">
      <c r="A6" s="135">
        <v>2</v>
      </c>
      <c r="B6" s="293" t="s">
        <v>86</v>
      </c>
      <c r="C6" s="328">
        <v>104.29</v>
      </c>
      <c r="D6" s="141">
        <v>34</v>
      </c>
      <c r="E6" s="135">
        <v>0</v>
      </c>
      <c r="F6" s="328">
        <f t="shared" si="0"/>
        <v>0</v>
      </c>
      <c r="G6" s="132"/>
    </row>
    <row r="7" spans="1:7" x14ac:dyDescent="0.25">
      <c r="A7" s="135">
        <v>3</v>
      </c>
      <c r="B7" s="293" t="s">
        <v>86</v>
      </c>
      <c r="C7" s="328">
        <v>104.29</v>
      </c>
      <c r="D7" s="141">
        <v>35</v>
      </c>
      <c r="E7" s="135">
        <v>0</v>
      </c>
      <c r="F7" s="328">
        <f t="shared" si="0"/>
        <v>0</v>
      </c>
      <c r="G7" s="132"/>
    </row>
    <row r="8" spans="1:7" x14ac:dyDescent="0.25">
      <c r="A8" s="135">
        <v>4</v>
      </c>
      <c r="B8" s="293" t="s">
        <v>86</v>
      </c>
      <c r="C8" s="328">
        <v>104.29</v>
      </c>
      <c r="D8" s="141">
        <v>36</v>
      </c>
      <c r="E8" s="135">
        <v>2</v>
      </c>
      <c r="F8" s="328">
        <f t="shared" si="0"/>
        <v>208.58</v>
      </c>
      <c r="G8" s="132"/>
    </row>
    <row r="9" spans="1:7" x14ac:dyDescent="0.25">
      <c r="A9" s="135">
        <v>5</v>
      </c>
      <c r="B9" s="293" t="s">
        <v>86</v>
      </c>
      <c r="C9" s="328">
        <v>104.29</v>
      </c>
      <c r="D9" s="139">
        <v>37</v>
      </c>
      <c r="E9" s="135">
        <v>6</v>
      </c>
      <c r="F9" s="328">
        <f t="shared" si="0"/>
        <v>625.74</v>
      </c>
      <c r="G9" s="132"/>
    </row>
    <row r="10" spans="1:7" x14ac:dyDescent="0.25">
      <c r="A10" s="135">
        <v>6</v>
      </c>
      <c r="B10" s="293" t="s">
        <v>86</v>
      </c>
      <c r="C10" s="328">
        <v>104.29</v>
      </c>
      <c r="D10" s="135">
        <v>38</v>
      </c>
      <c r="E10" s="135">
        <v>6</v>
      </c>
      <c r="F10" s="328">
        <f t="shared" si="0"/>
        <v>625.74</v>
      </c>
      <c r="G10" s="132"/>
    </row>
    <row r="11" spans="1:7" x14ac:dyDescent="0.25">
      <c r="A11" s="135">
        <v>7</v>
      </c>
      <c r="B11" s="293" t="s">
        <v>86</v>
      </c>
      <c r="C11" s="328">
        <v>104.29</v>
      </c>
      <c r="D11" s="141">
        <v>39</v>
      </c>
      <c r="E11" s="135">
        <v>5</v>
      </c>
      <c r="F11" s="328">
        <f t="shared" si="0"/>
        <v>521.45000000000005</v>
      </c>
      <c r="G11" s="132"/>
    </row>
    <row r="12" spans="1:7" x14ac:dyDescent="0.25">
      <c r="A12" s="135">
        <v>8</v>
      </c>
      <c r="B12" s="293" t="s">
        <v>86</v>
      </c>
      <c r="C12" s="328">
        <v>104.29</v>
      </c>
      <c r="D12" s="141">
        <v>40</v>
      </c>
      <c r="E12" s="135">
        <v>3</v>
      </c>
      <c r="F12" s="328">
        <f t="shared" si="0"/>
        <v>312.87</v>
      </c>
      <c r="G12" s="132"/>
    </row>
    <row r="13" spans="1:7" x14ac:dyDescent="0.25">
      <c r="A13" s="135">
        <v>9</v>
      </c>
      <c r="B13" s="293" t="s">
        <v>86</v>
      </c>
      <c r="C13" s="328">
        <v>104.29</v>
      </c>
      <c r="D13" s="139">
        <v>41</v>
      </c>
      <c r="E13" s="135">
        <v>2</v>
      </c>
      <c r="F13" s="328">
        <f t="shared" si="0"/>
        <v>208.58</v>
      </c>
      <c r="G13" s="132"/>
    </row>
    <row r="14" spans="1:7" x14ac:dyDescent="0.25">
      <c r="A14" s="135">
        <v>10</v>
      </c>
      <c r="B14" s="293" t="s">
        <v>86</v>
      </c>
      <c r="C14" s="328">
        <v>104.29</v>
      </c>
      <c r="D14" s="139">
        <v>42</v>
      </c>
      <c r="E14" s="135">
        <v>3</v>
      </c>
      <c r="F14" s="328">
        <f t="shared" si="0"/>
        <v>312.87</v>
      </c>
      <c r="G14" s="132"/>
    </row>
    <row r="15" spans="1:7" x14ac:dyDescent="0.25">
      <c r="A15" s="135">
        <v>11</v>
      </c>
      <c r="B15" s="293" t="s">
        <v>86</v>
      </c>
      <c r="C15" s="328">
        <v>104.29</v>
      </c>
      <c r="D15" s="139">
        <v>43</v>
      </c>
      <c r="E15" s="135">
        <v>4</v>
      </c>
      <c r="F15" s="328">
        <f t="shared" si="0"/>
        <v>417.16</v>
      </c>
      <c r="G15" s="132"/>
    </row>
    <row r="16" spans="1:7" x14ac:dyDescent="0.25">
      <c r="A16" s="135">
        <v>12</v>
      </c>
      <c r="B16" s="293" t="s">
        <v>86</v>
      </c>
      <c r="C16" s="328">
        <v>104.29</v>
      </c>
      <c r="D16" s="139">
        <v>44</v>
      </c>
      <c r="E16" s="135">
        <v>2</v>
      </c>
      <c r="F16" s="328">
        <f t="shared" si="0"/>
        <v>208.58</v>
      </c>
      <c r="G16" s="132"/>
    </row>
    <row r="17" spans="1:7" x14ac:dyDescent="0.25">
      <c r="A17" s="135">
        <v>13</v>
      </c>
      <c r="B17" s="293" t="s">
        <v>86</v>
      </c>
      <c r="C17" s="328">
        <v>104.29</v>
      </c>
      <c r="D17" s="139">
        <v>45</v>
      </c>
      <c r="E17" s="135">
        <v>0</v>
      </c>
      <c r="F17" s="328">
        <f t="shared" si="0"/>
        <v>0</v>
      </c>
      <c r="G17" s="132"/>
    </row>
    <row r="18" spans="1:7" x14ac:dyDescent="0.25">
      <c r="A18" s="135">
        <v>14</v>
      </c>
      <c r="B18" s="293" t="s">
        <v>86</v>
      </c>
      <c r="C18" s="328">
        <v>104.29</v>
      </c>
      <c r="D18" s="139">
        <v>46</v>
      </c>
      <c r="E18" s="135">
        <v>1</v>
      </c>
      <c r="F18" s="328">
        <f t="shared" si="0"/>
        <v>104.29</v>
      </c>
      <c r="G18" s="132"/>
    </row>
    <row r="19" spans="1:7" x14ac:dyDescent="0.25">
      <c r="A19" s="135">
        <v>15</v>
      </c>
      <c r="B19" s="329" t="s">
        <v>87</v>
      </c>
      <c r="C19" s="330">
        <v>40</v>
      </c>
      <c r="D19" s="139" t="s">
        <v>31</v>
      </c>
      <c r="E19" s="135">
        <v>8</v>
      </c>
      <c r="F19" s="328">
        <f t="shared" si="0"/>
        <v>320</v>
      </c>
      <c r="G19" s="132"/>
    </row>
    <row r="20" spans="1:7" x14ac:dyDescent="0.25">
      <c r="A20" s="135">
        <v>16</v>
      </c>
      <c r="B20" s="329" t="s">
        <v>87</v>
      </c>
      <c r="C20" s="330">
        <v>40</v>
      </c>
      <c r="D20" s="139" t="s">
        <v>28</v>
      </c>
      <c r="E20" s="135">
        <v>12</v>
      </c>
      <c r="F20" s="328">
        <f t="shared" si="0"/>
        <v>480</v>
      </c>
      <c r="G20" s="132"/>
    </row>
    <row r="21" spans="1:7" x14ac:dyDescent="0.25">
      <c r="A21" s="135">
        <v>17</v>
      </c>
      <c r="B21" s="329" t="s">
        <v>87</v>
      </c>
      <c r="C21" s="330">
        <v>40</v>
      </c>
      <c r="D21" s="135" t="s">
        <v>29</v>
      </c>
      <c r="E21" s="135">
        <v>80</v>
      </c>
      <c r="F21" s="328">
        <f t="shared" si="0"/>
        <v>3200</v>
      </c>
      <c r="G21" s="132"/>
    </row>
    <row r="22" spans="1:7" x14ac:dyDescent="0.25">
      <c r="A22" s="135">
        <v>18</v>
      </c>
      <c r="B22" s="329" t="s">
        <v>87</v>
      </c>
      <c r="C22" s="330">
        <v>40</v>
      </c>
      <c r="D22" s="139" t="s">
        <v>37</v>
      </c>
      <c r="E22" s="135">
        <v>40</v>
      </c>
      <c r="F22" s="328">
        <f t="shared" si="0"/>
        <v>1600</v>
      </c>
      <c r="G22" s="132"/>
    </row>
    <row r="23" spans="1:7" x14ac:dyDescent="0.25">
      <c r="A23" s="135">
        <v>19</v>
      </c>
      <c r="B23" s="269" t="s">
        <v>122</v>
      </c>
      <c r="C23" s="328">
        <v>75</v>
      </c>
      <c r="D23" s="19" t="s">
        <v>11</v>
      </c>
      <c r="E23" s="135">
        <v>13</v>
      </c>
      <c r="F23" s="328">
        <f t="shared" si="0"/>
        <v>975</v>
      </c>
      <c r="G23" s="132"/>
    </row>
    <row r="24" spans="1:7" x14ac:dyDescent="0.25">
      <c r="A24" s="135">
        <v>20</v>
      </c>
      <c r="B24" s="133" t="s">
        <v>39</v>
      </c>
      <c r="C24" s="331">
        <v>48.25</v>
      </c>
      <c r="D24" s="19" t="s">
        <v>11</v>
      </c>
      <c r="E24" s="135">
        <v>28</v>
      </c>
      <c r="F24" s="328">
        <f t="shared" si="0"/>
        <v>1351</v>
      </c>
      <c r="G24" s="132"/>
    </row>
    <row r="25" spans="1:7" x14ac:dyDescent="0.25">
      <c r="A25" s="135">
        <v>21</v>
      </c>
      <c r="B25" s="293" t="s">
        <v>40</v>
      </c>
      <c r="C25" s="328">
        <v>87.97</v>
      </c>
      <c r="D25" s="19" t="s">
        <v>11</v>
      </c>
      <c r="E25" s="135">
        <v>20</v>
      </c>
      <c r="F25" s="328">
        <f t="shared" si="0"/>
        <v>1759.4</v>
      </c>
      <c r="G25" s="132"/>
    </row>
    <row r="26" spans="1:7" x14ac:dyDescent="0.25">
      <c r="A26" s="135">
        <v>22</v>
      </c>
      <c r="B26" s="269" t="s">
        <v>125</v>
      </c>
      <c r="C26" s="328">
        <v>584.20000000000005</v>
      </c>
      <c r="D26" s="19" t="s">
        <v>11</v>
      </c>
      <c r="E26" s="135">
        <v>10</v>
      </c>
      <c r="F26" s="328">
        <f t="shared" si="0"/>
        <v>5842</v>
      </c>
      <c r="G26" s="132"/>
    </row>
    <row r="27" spans="1:7" x14ac:dyDescent="0.25">
      <c r="A27" s="135">
        <v>23</v>
      </c>
      <c r="B27" s="332" t="s">
        <v>42</v>
      </c>
      <c r="C27" s="328">
        <v>21</v>
      </c>
      <c r="D27" s="19" t="s">
        <v>11</v>
      </c>
      <c r="E27" s="135">
        <v>28</v>
      </c>
      <c r="F27" s="328">
        <f t="shared" si="0"/>
        <v>588</v>
      </c>
      <c r="G27" s="132"/>
    </row>
    <row r="28" spans="1:7" x14ac:dyDescent="0.25">
      <c r="A28" s="135">
        <v>24</v>
      </c>
      <c r="B28" s="332" t="s">
        <v>127</v>
      </c>
      <c r="C28" s="333">
        <v>39</v>
      </c>
      <c r="D28" s="19" t="s">
        <v>11</v>
      </c>
      <c r="E28" s="135">
        <v>65</v>
      </c>
      <c r="F28" s="328">
        <f t="shared" si="0"/>
        <v>2535</v>
      </c>
      <c r="G28" s="132"/>
    </row>
    <row r="29" spans="1:7" x14ac:dyDescent="0.25">
      <c r="A29" s="135">
        <v>25</v>
      </c>
      <c r="B29" s="293" t="s">
        <v>321</v>
      </c>
      <c r="C29" s="328">
        <v>28.94</v>
      </c>
      <c r="D29" s="19" t="s">
        <v>11</v>
      </c>
      <c r="E29" s="135">
        <v>30</v>
      </c>
      <c r="F29" s="328">
        <f t="shared" si="0"/>
        <v>868.2</v>
      </c>
      <c r="G29" s="132"/>
    </row>
    <row r="30" spans="1:7" ht="15" customHeight="1" x14ac:dyDescent="0.25">
      <c r="A30" s="135">
        <v>26</v>
      </c>
      <c r="B30" s="132" t="s">
        <v>48</v>
      </c>
      <c r="C30" s="328">
        <v>8.6300000000000008</v>
      </c>
      <c r="D30" s="19" t="s">
        <v>11</v>
      </c>
      <c r="E30" s="135">
        <v>15</v>
      </c>
      <c r="F30" s="328">
        <f t="shared" si="0"/>
        <v>129.45000000000002</v>
      </c>
      <c r="G30" s="132"/>
    </row>
    <row r="31" spans="1:7" ht="15" customHeight="1" x14ac:dyDescent="0.25">
      <c r="A31" s="135">
        <v>27</v>
      </c>
      <c r="B31" s="74" t="s">
        <v>92</v>
      </c>
      <c r="C31" s="328">
        <v>30.66</v>
      </c>
      <c r="D31" s="135"/>
      <c r="E31" s="135">
        <v>8</v>
      </c>
      <c r="F31" s="328">
        <f t="shared" si="0"/>
        <v>245.28</v>
      </c>
      <c r="G31" s="132"/>
    </row>
    <row r="32" spans="1:7" ht="15" customHeight="1" x14ac:dyDescent="0.25">
      <c r="A32" s="135">
        <v>28</v>
      </c>
      <c r="B32" s="74" t="s">
        <v>93</v>
      </c>
      <c r="C32" s="334"/>
      <c r="D32" s="135"/>
      <c r="E32" s="135">
        <v>10</v>
      </c>
      <c r="F32" s="328">
        <f t="shared" si="0"/>
        <v>0</v>
      </c>
      <c r="G32" s="132"/>
    </row>
    <row r="33" spans="1:8" ht="18" customHeight="1" x14ac:dyDescent="0.25">
      <c r="A33" s="135">
        <v>29</v>
      </c>
      <c r="B33" s="74" t="s">
        <v>94</v>
      </c>
      <c r="C33" s="334"/>
      <c r="D33" s="135"/>
      <c r="E33" s="135">
        <v>0</v>
      </c>
      <c r="F33" s="328">
        <f t="shared" si="0"/>
        <v>0</v>
      </c>
      <c r="G33" s="132"/>
    </row>
    <row r="34" spans="1:8" ht="18" customHeight="1" x14ac:dyDescent="0.25">
      <c r="A34" s="135"/>
      <c r="B34" s="74" t="s">
        <v>95</v>
      </c>
      <c r="C34" s="334"/>
      <c r="D34" s="135"/>
      <c r="E34" s="135">
        <v>20</v>
      </c>
      <c r="F34" s="328">
        <f t="shared" si="0"/>
        <v>0</v>
      </c>
      <c r="G34" s="132"/>
    </row>
    <row r="35" spans="1:8" ht="18" customHeight="1" x14ac:dyDescent="0.25">
      <c r="A35" s="135">
        <v>28</v>
      </c>
      <c r="B35" s="293" t="s">
        <v>96</v>
      </c>
      <c r="C35" s="328">
        <v>38</v>
      </c>
      <c r="D35" s="19" t="s">
        <v>11</v>
      </c>
      <c r="E35" s="135">
        <v>40</v>
      </c>
      <c r="F35" s="328">
        <f t="shared" si="0"/>
        <v>1520</v>
      </c>
      <c r="G35" s="132"/>
    </row>
    <row r="36" spans="1:8" ht="18" customHeight="1" x14ac:dyDescent="0.25">
      <c r="A36" s="135">
        <v>29</v>
      </c>
      <c r="B36" s="332" t="s">
        <v>63</v>
      </c>
      <c r="C36" s="333">
        <v>4.8499999999999996</v>
      </c>
      <c r="D36" s="19" t="s">
        <v>11</v>
      </c>
      <c r="E36" s="135">
        <v>15</v>
      </c>
      <c r="F36" s="328">
        <f t="shared" si="0"/>
        <v>72.75</v>
      </c>
      <c r="G36" s="132"/>
    </row>
    <row r="37" spans="1:8" ht="18" customHeight="1" x14ac:dyDescent="0.25">
      <c r="A37" s="135">
        <v>30</v>
      </c>
      <c r="B37" s="332" t="s">
        <v>322</v>
      </c>
      <c r="C37" s="335">
        <v>9</v>
      </c>
      <c r="D37" s="19" t="s">
        <v>11</v>
      </c>
      <c r="E37" s="135">
        <v>10</v>
      </c>
      <c r="F37" s="328">
        <f t="shared" si="0"/>
        <v>90</v>
      </c>
      <c r="G37" s="132"/>
      <c r="H37" s="104"/>
    </row>
    <row r="38" spans="1:8" ht="18" customHeight="1" x14ac:dyDescent="0.25">
      <c r="A38" s="135">
        <v>31</v>
      </c>
      <c r="B38" s="293" t="s">
        <v>64</v>
      </c>
      <c r="C38" s="333">
        <v>4</v>
      </c>
      <c r="D38" s="19" t="s">
        <v>11</v>
      </c>
      <c r="E38" s="135">
        <v>20</v>
      </c>
      <c r="F38" s="328">
        <f t="shared" si="0"/>
        <v>80</v>
      </c>
      <c r="G38" s="132"/>
    </row>
    <row r="39" spans="1:8" ht="18" customHeight="1" x14ac:dyDescent="0.25">
      <c r="A39" s="135">
        <v>32</v>
      </c>
      <c r="B39" s="293" t="s">
        <v>323</v>
      </c>
      <c r="C39" s="333">
        <v>8.08</v>
      </c>
      <c r="D39" s="19" t="s">
        <v>11</v>
      </c>
      <c r="E39" s="135">
        <v>22</v>
      </c>
      <c r="F39" s="328">
        <f t="shared" si="0"/>
        <v>177.76</v>
      </c>
      <c r="G39" s="132"/>
    </row>
    <row r="40" spans="1:8" x14ac:dyDescent="0.25">
      <c r="A40" s="135">
        <v>33</v>
      </c>
      <c r="B40" s="329" t="s">
        <v>324</v>
      </c>
      <c r="C40" s="328">
        <v>15.19</v>
      </c>
      <c r="D40" s="19" t="s">
        <v>11</v>
      </c>
      <c r="E40" s="135">
        <v>0</v>
      </c>
      <c r="F40" s="328">
        <f t="shared" si="0"/>
        <v>0</v>
      </c>
      <c r="G40" s="132"/>
    </row>
    <row r="41" spans="1:8" ht="18" customHeight="1" x14ac:dyDescent="0.25">
      <c r="A41" s="135">
        <v>34</v>
      </c>
      <c r="B41" s="336" t="s">
        <v>277</v>
      </c>
      <c r="C41" s="333">
        <v>24.55</v>
      </c>
      <c r="D41" s="19" t="s">
        <v>11</v>
      </c>
      <c r="E41" s="135">
        <v>80</v>
      </c>
      <c r="F41" s="328">
        <f t="shared" si="0"/>
        <v>1964</v>
      </c>
      <c r="G41" s="132"/>
    </row>
    <row r="42" spans="1:8" ht="18" customHeight="1" x14ac:dyDescent="0.25">
      <c r="A42" s="135">
        <v>35</v>
      </c>
      <c r="B42" s="269" t="s">
        <v>69</v>
      </c>
      <c r="C42" s="328">
        <v>890.46</v>
      </c>
      <c r="D42" s="19" t="s">
        <v>11</v>
      </c>
      <c r="E42" s="135">
        <v>15</v>
      </c>
      <c r="F42" s="328">
        <f t="shared" si="0"/>
        <v>13356.900000000001</v>
      </c>
      <c r="G42" s="132"/>
    </row>
    <row r="43" spans="1:8" ht="25.5" x14ac:dyDescent="0.25">
      <c r="A43" s="135">
        <v>36</v>
      </c>
      <c r="B43" s="269" t="s">
        <v>325</v>
      </c>
      <c r="C43" s="328">
        <v>355</v>
      </c>
      <c r="D43" s="135" t="s">
        <v>326</v>
      </c>
      <c r="E43" s="135">
        <v>18</v>
      </c>
      <c r="F43" s="328">
        <f t="shared" si="0"/>
        <v>6390</v>
      </c>
      <c r="G43" s="132"/>
    </row>
    <row r="44" spans="1:8" x14ac:dyDescent="0.25">
      <c r="A44" s="135">
        <v>37</v>
      </c>
      <c r="B44" s="269" t="s">
        <v>327</v>
      </c>
      <c r="C44" s="328">
        <v>280.39</v>
      </c>
      <c r="D44" s="19" t="s">
        <v>11</v>
      </c>
      <c r="E44" s="135">
        <v>35</v>
      </c>
      <c r="F44" s="328">
        <f t="shared" si="0"/>
        <v>9813.65</v>
      </c>
      <c r="G44" s="132"/>
    </row>
    <row r="45" spans="1:8" x14ac:dyDescent="0.25">
      <c r="A45" s="135">
        <v>38</v>
      </c>
      <c r="B45" s="269" t="s">
        <v>73</v>
      </c>
      <c r="C45" s="328">
        <v>311.64999999999998</v>
      </c>
      <c r="D45" s="19" t="s">
        <v>11</v>
      </c>
      <c r="E45" s="135">
        <v>15</v>
      </c>
      <c r="F45" s="328">
        <f t="shared" si="0"/>
        <v>4674.75</v>
      </c>
      <c r="G45" s="132"/>
    </row>
    <row r="46" spans="1:8" x14ac:dyDescent="0.25">
      <c r="A46" s="337"/>
      <c r="B46" s="338"/>
      <c r="C46" s="339"/>
      <c r="D46" s="337"/>
      <c r="E46" s="337"/>
      <c r="F46" s="340">
        <f>SUM(F5:F45)</f>
        <v>62587.799999999996</v>
      </c>
      <c r="G46" s="341"/>
    </row>
    <row r="47" spans="1:8" x14ac:dyDescent="0.25">
      <c r="A47" s="514"/>
      <c r="B47" s="514"/>
      <c r="C47" s="514"/>
      <c r="D47" s="514"/>
      <c r="E47" s="514"/>
      <c r="F47" s="514"/>
      <c r="G47" s="514"/>
    </row>
    <row r="48" spans="1:8" x14ac:dyDescent="0.25">
      <c r="A48" s="515" t="s">
        <v>328</v>
      </c>
      <c r="B48" s="516"/>
      <c r="C48" s="516"/>
      <c r="D48" s="516"/>
      <c r="E48" s="516"/>
      <c r="F48" s="516"/>
      <c r="G48" s="517"/>
    </row>
    <row r="49" spans="1:7" x14ac:dyDescent="0.25">
      <c r="A49" s="266" t="s">
        <v>3</v>
      </c>
      <c r="B49" s="266" t="s">
        <v>4</v>
      </c>
      <c r="C49" s="266" t="s">
        <v>5</v>
      </c>
      <c r="D49" s="267" t="s">
        <v>6</v>
      </c>
      <c r="E49" s="267" t="s">
        <v>7</v>
      </c>
      <c r="F49" s="267" t="s">
        <v>8</v>
      </c>
      <c r="G49" s="267" t="s">
        <v>9</v>
      </c>
    </row>
    <row r="50" spans="1:7" x14ac:dyDescent="0.25">
      <c r="A50" s="508" t="s">
        <v>75</v>
      </c>
      <c r="B50" s="509"/>
      <c r="C50" s="509"/>
      <c r="D50" s="509"/>
      <c r="E50" s="509"/>
      <c r="F50" s="509"/>
      <c r="G50" s="510"/>
    </row>
    <row r="51" spans="1:7" x14ac:dyDescent="0.25">
      <c r="A51" s="268">
        <v>1</v>
      </c>
      <c r="B51" s="269" t="s">
        <v>76</v>
      </c>
      <c r="C51" s="270">
        <v>143.56</v>
      </c>
      <c r="D51" s="19" t="s">
        <v>11</v>
      </c>
      <c r="E51" s="19"/>
      <c r="F51" s="271" t="s">
        <v>329</v>
      </c>
      <c r="G51" s="74"/>
    </row>
    <row r="52" spans="1:7" x14ac:dyDescent="0.25">
      <c r="A52" s="268">
        <v>2</v>
      </c>
      <c r="B52" s="269" t="s">
        <v>77</v>
      </c>
      <c r="C52" s="270">
        <v>65</v>
      </c>
      <c r="D52" s="19" t="s">
        <v>11</v>
      </c>
      <c r="E52" s="19"/>
      <c r="F52" s="271" t="s">
        <v>329</v>
      </c>
      <c r="G52" s="74"/>
    </row>
    <row r="53" spans="1:7" x14ac:dyDescent="0.25">
      <c r="A53" s="268">
        <v>3</v>
      </c>
      <c r="B53" s="269" t="s">
        <v>78</v>
      </c>
      <c r="C53" s="270">
        <v>44</v>
      </c>
      <c r="D53" s="19" t="s">
        <v>11</v>
      </c>
      <c r="E53" s="19"/>
      <c r="F53" s="271" t="s">
        <v>329</v>
      </c>
      <c r="G53" s="74"/>
    </row>
    <row r="54" spans="1:7" x14ac:dyDescent="0.25">
      <c r="A54" s="268">
        <v>4</v>
      </c>
      <c r="B54" s="269" t="s">
        <v>79</v>
      </c>
      <c r="C54" s="270">
        <v>98.7</v>
      </c>
      <c r="D54" s="19" t="s">
        <v>11</v>
      </c>
      <c r="E54" s="19"/>
      <c r="F54" s="271" t="s">
        <v>329</v>
      </c>
      <c r="G54" s="74"/>
    </row>
    <row r="55" spans="1:7" x14ac:dyDescent="0.25">
      <c r="A55" s="508" t="s">
        <v>163</v>
      </c>
      <c r="B55" s="509"/>
      <c r="C55" s="509"/>
      <c r="D55" s="509"/>
      <c r="E55" s="509"/>
      <c r="F55" s="509"/>
      <c r="G55" s="510"/>
    </row>
    <row r="56" spans="1:7" x14ac:dyDescent="0.25">
      <c r="A56" s="268">
        <v>1</v>
      </c>
      <c r="B56" s="269" t="s">
        <v>76</v>
      </c>
      <c r="C56" s="270">
        <v>143.56</v>
      </c>
      <c r="D56" s="19" t="s">
        <v>11</v>
      </c>
      <c r="E56" s="19">
        <v>0</v>
      </c>
      <c r="F56" s="272">
        <f>E56*C56</f>
        <v>0</v>
      </c>
      <c r="G56" s="151"/>
    </row>
    <row r="57" spans="1:7" x14ac:dyDescent="0.25">
      <c r="A57" s="268">
        <v>2</v>
      </c>
      <c r="B57" s="269" t="s">
        <v>77</v>
      </c>
      <c r="C57" s="270">
        <v>65</v>
      </c>
      <c r="D57" s="19" t="s">
        <v>11</v>
      </c>
      <c r="E57" s="19">
        <v>80</v>
      </c>
      <c r="F57" s="272">
        <f>E57*C57</f>
        <v>5200</v>
      </c>
      <c r="G57" s="151"/>
    </row>
    <row r="58" spans="1:7" x14ac:dyDescent="0.25">
      <c r="A58" s="268">
        <v>3</v>
      </c>
      <c r="B58" s="269" t="s">
        <v>78</v>
      </c>
      <c r="C58" s="270">
        <v>44</v>
      </c>
      <c r="D58" s="19" t="s">
        <v>11</v>
      </c>
      <c r="E58" s="19">
        <v>16</v>
      </c>
      <c r="F58" s="272">
        <f>E58*C58</f>
        <v>704</v>
      </c>
      <c r="G58" s="151"/>
    </row>
    <row r="59" spans="1:7" x14ac:dyDescent="0.25">
      <c r="A59" s="268">
        <v>4</v>
      </c>
      <c r="B59" s="269" t="s">
        <v>79</v>
      </c>
      <c r="C59" s="270">
        <v>98.7</v>
      </c>
      <c r="D59" s="19" t="s">
        <v>11</v>
      </c>
      <c r="E59" s="19">
        <v>14</v>
      </c>
      <c r="F59" s="272">
        <f>E59*C59</f>
        <v>1381.8</v>
      </c>
      <c r="G59" s="151"/>
    </row>
    <row r="60" spans="1:7" x14ac:dyDescent="0.25">
      <c r="A60" s="342"/>
      <c r="B60" s="338"/>
      <c r="C60" s="339"/>
      <c r="D60" s="337"/>
      <c r="E60" s="337"/>
      <c r="F60" s="340">
        <f>SUM(F56:F59)</f>
        <v>7285.8</v>
      </c>
      <c r="G60" s="341"/>
    </row>
  </sheetData>
  <mergeCells count="7">
    <mergeCell ref="A50:G50"/>
    <mergeCell ref="A55:G55"/>
    <mergeCell ref="A1:G1"/>
    <mergeCell ref="A2:G2"/>
    <mergeCell ref="A3:G3"/>
    <mergeCell ref="A47:G47"/>
    <mergeCell ref="A48:G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158C-C504-45CF-8A3C-D19F6621F7EC}">
  <sheetPr>
    <tabColor rgb="FFA9D08E"/>
  </sheetPr>
  <dimension ref="A1:H66"/>
  <sheetViews>
    <sheetView workbookViewId="0">
      <selection activeCell="E22" sqref="E22"/>
    </sheetView>
  </sheetViews>
  <sheetFormatPr defaultRowHeight="15" x14ac:dyDescent="0.25"/>
  <cols>
    <col min="2" max="2" width="50.5703125" customWidth="1"/>
    <col min="3" max="3" width="9.28515625" customWidth="1"/>
    <col min="4" max="4" width="14" customWidth="1"/>
    <col min="5" max="6" width="12.7109375" customWidth="1"/>
    <col min="7" max="7" width="14.140625" customWidth="1"/>
    <col min="8" max="8" width="9.85546875" bestFit="1" customWidth="1"/>
  </cols>
  <sheetData>
    <row r="1" spans="1:7" ht="18" customHeight="1" x14ac:dyDescent="0.25">
      <c r="A1" s="443" t="s">
        <v>316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317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330</v>
      </c>
      <c r="B3" s="457"/>
      <c r="C3" s="457"/>
      <c r="D3" s="457"/>
      <c r="E3" s="457"/>
      <c r="F3" s="457"/>
      <c r="G3" s="458"/>
    </row>
    <row r="4" spans="1:7" x14ac:dyDescent="0.25">
      <c r="A4" s="14" t="s">
        <v>3</v>
      </c>
      <c r="B4" s="14" t="s">
        <v>4</v>
      </c>
      <c r="C4" s="60" t="s">
        <v>5</v>
      </c>
      <c r="D4" s="2" t="s">
        <v>6</v>
      </c>
      <c r="E4" s="2" t="s">
        <v>7</v>
      </c>
      <c r="F4" s="61" t="s">
        <v>8</v>
      </c>
      <c r="G4" s="12" t="s">
        <v>9</v>
      </c>
    </row>
    <row r="5" spans="1:7" x14ac:dyDescent="0.25">
      <c r="A5" s="15">
        <v>1</v>
      </c>
      <c r="B5" s="3" t="s">
        <v>86</v>
      </c>
      <c r="C5" s="70">
        <v>104.29</v>
      </c>
      <c r="D5" s="4">
        <v>34</v>
      </c>
      <c r="E5" s="5">
        <v>0</v>
      </c>
      <c r="F5" s="68">
        <f t="shared" ref="F5:F36" si="0">C5*E5</f>
        <v>0</v>
      </c>
      <c r="G5" s="13"/>
    </row>
    <row r="6" spans="1:7" x14ac:dyDescent="0.25">
      <c r="A6" s="15">
        <v>2</v>
      </c>
      <c r="B6" s="3" t="s">
        <v>86</v>
      </c>
      <c r="C6" s="70">
        <v>104.29</v>
      </c>
      <c r="D6" s="4">
        <v>35</v>
      </c>
      <c r="E6" s="5">
        <v>0</v>
      </c>
      <c r="F6" s="68">
        <f t="shared" si="0"/>
        <v>0</v>
      </c>
      <c r="G6" s="13"/>
    </row>
    <row r="7" spans="1:7" x14ac:dyDescent="0.25">
      <c r="A7" s="15">
        <v>3</v>
      </c>
      <c r="B7" s="3" t="s">
        <v>86</v>
      </c>
      <c r="C7" s="70">
        <v>104.29</v>
      </c>
      <c r="D7" s="4">
        <v>36</v>
      </c>
      <c r="E7" s="5">
        <v>0</v>
      </c>
      <c r="F7" s="68">
        <f t="shared" si="0"/>
        <v>0</v>
      </c>
      <c r="G7" s="13"/>
    </row>
    <row r="8" spans="1:7" x14ac:dyDescent="0.25">
      <c r="A8" s="15">
        <v>4</v>
      </c>
      <c r="B8" s="3" t="s">
        <v>86</v>
      </c>
      <c r="C8" s="70">
        <v>104.29</v>
      </c>
      <c r="D8" s="3">
        <v>37</v>
      </c>
      <c r="E8" s="349">
        <v>15</v>
      </c>
      <c r="F8" s="68">
        <f t="shared" si="0"/>
        <v>1564.3500000000001</v>
      </c>
      <c r="G8" s="13"/>
    </row>
    <row r="9" spans="1:7" x14ac:dyDescent="0.25">
      <c r="A9" s="15">
        <v>5</v>
      </c>
      <c r="B9" s="3" t="s">
        <v>86</v>
      </c>
      <c r="C9" s="70">
        <v>104.29</v>
      </c>
      <c r="D9" s="7">
        <v>38</v>
      </c>
      <c r="E9" s="349">
        <v>6</v>
      </c>
      <c r="F9" s="68">
        <f t="shared" si="0"/>
        <v>625.74</v>
      </c>
      <c r="G9" s="13"/>
    </row>
    <row r="10" spans="1:7" x14ac:dyDescent="0.25">
      <c r="A10" s="15">
        <v>6</v>
      </c>
      <c r="B10" s="3" t="s">
        <v>86</v>
      </c>
      <c r="C10" s="70">
        <v>104.29</v>
      </c>
      <c r="D10" s="4">
        <v>39</v>
      </c>
      <c r="E10" s="349">
        <v>15</v>
      </c>
      <c r="F10" s="68">
        <f t="shared" si="0"/>
        <v>1564.3500000000001</v>
      </c>
      <c r="G10" s="13"/>
    </row>
    <row r="11" spans="1:7" x14ac:dyDescent="0.25">
      <c r="A11" s="15">
        <v>7</v>
      </c>
      <c r="B11" s="3" t="s">
        <v>86</v>
      </c>
      <c r="C11" s="70">
        <v>104.29</v>
      </c>
      <c r="D11" s="4">
        <v>40</v>
      </c>
      <c r="E11" s="349">
        <v>20</v>
      </c>
      <c r="F11" s="68">
        <f t="shared" si="0"/>
        <v>2085.8000000000002</v>
      </c>
      <c r="G11" s="13"/>
    </row>
    <row r="12" spans="1:7" x14ac:dyDescent="0.25">
      <c r="A12" s="15">
        <v>8</v>
      </c>
      <c r="B12" s="3" t="s">
        <v>86</v>
      </c>
      <c r="C12" s="70">
        <v>104.29</v>
      </c>
      <c r="D12" s="3">
        <v>41</v>
      </c>
      <c r="E12" s="349">
        <v>20</v>
      </c>
      <c r="F12" s="68">
        <f t="shared" si="0"/>
        <v>2085.8000000000002</v>
      </c>
      <c r="G12" s="13"/>
    </row>
    <row r="13" spans="1:7" x14ac:dyDescent="0.25">
      <c r="A13" s="15">
        <v>9</v>
      </c>
      <c r="B13" s="3" t="s">
        <v>86</v>
      </c>
      <c r="C13" s="70">
        <v>104.29</v>
      </c>
      <c r="D13" s="3">
        <v>42</v>
      </c>
      <c r="E13" s="349">
        <v>8</v>
      </c>
      <c r="F13" s="68">
        <f t="shared" si="0"/>
        <v>834.32</v>
      </c>
      <c r="G13" s="13"/>
    </row>
    <row r="14" spans="1:7" x14ac:dyDescent="0.25">
      <c r="A14" s="15">
        <v>10</v>
      </c>
      <c r="B14" s="3" t="s">
        <v>86</v>
      </c>
      <c r="C14" s="70">
        <v>104.29</v>
      </c>
      <c r="D14" s="3">
        <v>43</v>
      </c>
      <c r="E14" s="349">
        <v>11</v>
      </c>
      <c r="F14" s="68">
        <f t="shared" si="0"/>
        <v>1147.19</v>
      </c>
      <c r="G14" s="13"/>
    </row>
    <row r="15" spans="1:7" x14ac:dyDescent="0.25">
      <c r="A15" s="15">
        <v>11</v>
      </c>
      <c r="B15" s="3" t="s">
        <v>86</v>
      </c>
      <c r="C15" s="70">
        <v>104.29</v>
      </c>
      <c r="D15" s="3">
        <v>44</v>
      </c>
      <c r="E15" s="349">
        <v>10</v>
      </c>
      <c r="F15" s="68">
        <f t="shared" si="0"/>
        <v>1042.9000000000001</v>
      </c>
      <c r="G15" s="13"/>
    </row>
    <row r="16" spans="1:7" x14ac:dyDescent="0.25">
      <c r="A16" s="15">
        <v>12</v>
      </c>
      <c r="B16" s="3" t="s">
        <v>86</v>
      </c>
      <c r="C16" s="70">
        <v>104.29</v>
      </c>
      <c r="D16" s="3">
        <v>45</v>
      </c>
      <c r="E16" s="349">
        <v>2</v>
      </c>
      <c r="F16" s="68">
        <f t="shared" si="0"/>
        <v>208.58</v>
      </c>
      <c r="G16" s="13"/>
    </row>
    <row r="17" spans="1:7" x14ac:dyDescent="0.25">
      <c r="A17" s="15">
        <v>13</v>
      </c>
      <c r="B17" s="3" t="s">
        <v>86</v>
      </c>
      <c r="C17" s="70">
        <v>104.29</v>
      </c>
      <c r="D17" s="3">
        <v>46</v>
      </c>
      <c r="E17" s="349">
        <v>4</v>
      </c>
      <c r="F17" s="68">
        <f t="shared" si="0"/>
        <v>417.16</v>
      </c>
      <c r="G17" s="13"/>
    </row>
    <row r="18" spans="1:7" x14ac:dyDescent="0.25">
      <c r="A18" s="15">
        <v>14</v>
      </c>
      <c r="B18" s="8" t="s">
        <v>87</v>
      </c>
      <c r="C18" s="69">
        <v>40</v>
      </c>
      <c r="D18" s="3" t="s">
        <v>31</v>
      </c>
      <c r="E18" s="5">
        <v>0</v>
      </c>
      <c r="F18" s="68">
        <f t="shared" si="0"/>
        <v>0</v>
      </c>
      <c r="G18" s="13"/>
    </row>
    <row r="19" spans="1:7" x14ac:dyDescent="0.25">
      <c r="A19" s="15">
        <v>15</v>
      </c>
      <c r="B19" s="8" t="s">
        <v>87</v>
      </c>
      <c r="C19" s="69">
        <v>40</v>
      </c>
      <c r="D19" s="3" t="s">
        <v>28</v>
      </c>
      <c r="E19" s="5">
        <v>0</v>
      </c>
      <c r="F19" s="68">
        <f t="shared" si="0"/>
        <v>0</v>
      </c>
      <c r="G19" s="13"/>
    </row>
    <row r="20" spans="1:7" x14ac:dyDescent="0.25">
      <c r="A20" s="15">
        <v>16</v>
      </c>
      <c r="B20" s="8" t="s">
        <v>87</v>
      </c>
      <c r="C20" s="69">
        <v>40</v>
      </c>
      <c r="D20" s="6" t="s">
        <v>29</v>
      </c>
      <c r="E20" s="5">
        <v>0</v>
      </c>
      <c r="F20" s="68">
        <f t="shared" si="0"/>
        <v>0</v>
      </c>
      <c r="G20" s="13"/>
    </row>
    <row r="21" spans="1:7" x14ac:dyDescent="0.25">
      <c r="A21" s="15">
        <v>17</v>
      </c>
      <c r="B21" s="8" t="s">
        <v>87</v>
      </c>
      <c r="C21" s="69">
        <v>40</v>
      </c>
      <c r="D21" s="3" t="s">
        <v>37</v>
      </c>
      <c r="E21" s="5">
        <v>28</v>
      </c>
      <c r="F21" s="68">
        <f t="shared" si="0"/>
        <v>1120</v>
      </c>
      <c r="G21" s="13"/>
    </row>
    <row r="22" spans="1:7" x14ac:dyDescent="0.25">
      <c r="A22" s="15">
        <v>18</v>
      </c>
      <c r="B22" s="9" t="s">
        <v>40</v>
      </c>
      <c r="C22" s="68">
        <v>87.97</v>
      </c>
      <c r="D22" s="3"/>
      <c r="E22" s="5">
        <v>50</v>
      </c>
      <c r="F22" s="68">
        <f t="shared" si="0"/>
        <v>4398.5</v>
      </c>
      <c r="G22" s="13"/>
    </row>
    <row r="23" spans="1:7" x14ac:dyDescent="0.25">
      <c r="A23" s="15">
        <v>19</v>
      </c>
      <c r="B23" s="7" t="s">
        <v>127</v>
      </c>
      <c r="C23" s="71">
        <v>39</v>
      </c>
      <c r="D23" s="6"/>
      <c r="E23" s="5">
        <v>70</v>
      </c>
      <c r="F23" s="68">
        <f t="shared" si="0"/>
        <v>2730</v>
      </c>
      <c r="G23" s="13"/>
    </row>
    <row r="24" spans="1:7" x14ac:dyDescent="0.25">
      <c r="A24" s="15">
        <v>21</v>
      </c>
      <c r="B24" s="9" t="s">
        <v>96</v>
      </c>
      <c r="C24" s="68">
        <v>38</v>
      </c>
      <c r="D24" s="6"/>
      <c r="E24" s="5">
        <v>160</v>
      </c>
      <c r="F24" s="68">
        <f t="shared" si="0"/>
        <v>6080</v>
      </c>
      <c r="G24" s="13"/>
    </row>
    <row r="25" spans="1:7" x14ac:dyDescent="0.25">
      <c r="A25" s="15">
        <v>22</v>
      </c>
      <c r="B25" s="9" t="s">
        <v>64</v>
      </c>
      <c r="C25" s="72">
        <v>4.8499999999999996</v>
      </c>
      <c r="D25" s="6"/>
      <c r="E25" s="5">
        <v>300</v>
      </c>
      <c r="F25" s="68">
        <f t="shared" si="0"/>
        <v>1455</v>
      </c>
      <c r="G25" s="13"/>
    </row>
    <row r="26" spans="1:7" x14ac:dyDescent="0.25">
      <c r="A26" s="15">
        <v>23</v>
      </c>
      <c r="B26" s="10" t="s">
        <v>63</v>
      </c>
      <c r="C26" s="73">
        <v>4</v>
      </c>
      <c r="D26" s="6"/>
      <c r="E26" s="5">
        <v>50</v>
      </c>
      <c r="F26" s="68">
        <f t="shared" si="0"/>
        <v>200</v>
      </c>
      <c r="G26" s="13"/>
    </row>
    <row r="27" spans="1:7" x14ac:dyDescent="0.25">
      <c r="A27" s="15">
        <v>24</v>
      </c>
      <c r="B27" s="10" t="s">
        <v>42</v>
      </c>
      <c r="C27" s="68">
        <v>21</v>
      </c>
      <c r="D27" s="6"/>
      <c r="E27" s="5">
        <v>55</v>
      </c>
      <c r="F27" s="68">
        <f t="shared" si="0"/>
        <v>1155</v>
      </c>
      <c r="G27" s="13"/>
    </row>
    <row r="28" spans="1:7" x14ac:dyDescent="0.25">
      <c r="A28" s="15">
        <v>25</v>
      </c>
      <c r="B28" s="9" t="s">
        <v>90</v>
      </c>
      <c r="C28" s="68">
        <v>28.94</v>
      </c>
      <c r="D28" s="6"/>
      <c r="E28" s="5">
        <v>29</v>
      </c>
      <c r="F28" s="68">
        <f t="shared" si="0"/>
        <v>839.26</v>
      </c>
      <c r="G28" s="13"/>
    </row>
    <row r="29" spans="1:7" ht="51.75" x14ac:dyDescent="0.25">
      <c r="A29" s="15">
        <v>26</v>
      </c>
      <c r="B29" s="77" t="s">
        <v>331</v>
      </c>
      <c r="C29" s="68">
        <v>15.19</v>
      </c>
      <c r="D29" s="6"/>
      <c r="E29" s="5">
        <v>251</v>
      </c>
      <c r="F29" s="68">
        <f t="shared" si="0"/>
        <v>3812.69</v>
      </c>
      <c r="G29" s="13"/>
    </row>
    <row r="30" spans="1:7" ht="15" customHeight="1" x14ac:dyDescent="0.25">
      <c r="A30" s="15">
        <v>27</v>
      </c>
      <c r="B30" s="11" t="s">
        <v>10</v>
      </c>
      <c r="C30" s="68">
        <v>126.1</v>
      </c>
      <c r="D30" s="6"/>
      <c r="E30" s="5">
        <v>32</v>
      </c>
      <c r="F30" s="68">
        <f t="shared" si="0"/>
        <v>4035.2</v>
      </c>
      <c r="G30" s="13"/>
    </row>
    <row r="31" spans="1:7" ht="22.5" customHeight="1" x14ac:dyDescent="0.25">
      <c r="A31" s="15">
        <v>28</v>
      </c>
      <c r="B31" s="11" t="s">
        <v>38</v>
      </c>
      <c r="C31" s="68">
        <v>75</v>
      </c>
      <c r="D31" s="6"/>
      <c r="E31" s="5">
        <v>10</v>
      </c>
      <c r="F31" s="68">
        <f t="shared" si="0"/>
        <v>750</v>
      </c>
      <c r="G31" s="13"/>
    </row>
    <row r="32" spans="1:7" ht="25.5" customHeight="1" x14ac:dyDescent="0.25">
      <c r="A32" s="15">
        <v>29</v>
      </c>
      <c r="B32" s="11" t="s">
        <v>41</v>
      </c>
      <c r="C32" s="68">
        <v>584.20000000000005</v>
      </c>
      <c r="D32" s="6"/>
      <c r="E32" s="5">
        <v>10</v>
      </c>
      <c r="F32" s="68">
        <f t="shared" si="0"/>
        <v>5842</v>
      </c>
      <c r="G32" s="13"/>
    </row>
    <row r="33" spans="1:7" ht="18" customHeight="1" x14ac:dyDescent="0.25">
      <c r="A33" s="15">
        <v>30</v>
      </c>
      <c r="B33" s="11" t="s">
        <v>69</v>
      </c>
      <c r="C33" s="68">
        <v>890.46</v>
      </c>
      <c r="D33" s="6"/>
      <c r="E33" s="5">
        <v>49</v>
      </c>
      <c r="F33" s="68">
        <f t="shared" si="0"/>
        <v>43632.54</v>
      </c>
      <c r="G33" s="13"/>
    </row>
    <row r="34" spans="1:7" ht="18" customHeight="1" x14ac:dyDescent="0.25">
      <c r="A34" s="15">
        <v>31</v>
      </c>
      <c r="B34" s="11" t="s">
        <v>70</v>
      </c>
      <c r="C34" s="68">
        <v>355</v>
      </c>
      <c r="D34" s="6"/>
      <c r="E34" s="5">
        <v>14</v>
      </c>
      <c r="F34" s="68">
        <f t="shared" si="0"/>
        <v>4970</v>
      </c>
      <c r="G34" s="13"/>
    </row>
    <row r="35" spans="1:7" ht="18" customHeight="1" x14ac:dyDescent="0.25">
      <c r="A35" s="15">
        <v>32</v>
      </c>
      <c r="B35" s="11" t="s">
        <v>71</v>
      </c>
      <c r="C35" s="68">
        <v>280.39</v>
      </c>
      <c r="D35" s="6"/>
      <c r="E35" s="5">
        <v>0</v>
      </c>
      <c r="F35" s="68">
        <f t="shared" si="0"/>
        <v>0</v>
      </c>
      <c r="G35" s="13"/>
    </row>
    <row r="36" spans="1:7" ht="18" customHeight="1" x14ac:dyDescent="0.25">
      <c r="A36" s="15">
        <v>33</v>
      </c>
      <c r="B36" s="11" t="s">
        <v>73</v>
      </c>
      <c r="C36" s="68">
        <v>311.64999999999998</v>
      </c>
      <c r="D36" s="6"/>
      <c r="E36" s="5">
        <v>4</v>
      </c>
      <c r="F36" s="68">
        <f t="shared" si="0"/>
        <v>1246.5999999999999</v>
      </c>
      <c r="G36" s="13"/>
    </row>
    <row r="37" spans="1:7" ht="18" customHeight="1" x14ac:dyDescent="0.25">
      <c r="A37" s="15">
        <v>34</v>
      </c>
      <c r="B37" s="94" t="s">
        <v>332</v>
      </c>
      <c r="C37" s="98"/>
      <c r="D37" s="91"/>
      <c r="E37" s="32">
        <v>2</v>
      </c>
      <c r="F37" s="98"/>
      <c r="G37" s="95"/>
    </row>
    <row r="38" spans="1:7" ht="18" customHeight="1" x14ac:dyDescent="0.25">
      <c r="A38" s="15">
        <v>35</v>
      </c>
      <c r="B38" s="94" t="s">
        <v>84</v>
      </c>
      <c r="C38" s="98"/>
      <c r="D38" s="91"/>
      <c r="E38" s="32">
        <v>77</v>
      </c>
      <c r="F38" s="98"/>
      <c r="G38" s="95"/>
    </row>
    <row r="39" spans="1:7" ht="18" customHeight="1" x14ac:dyDescent="0.25">
      <c r="A39" s="15">
        <v>36</v>
      </c>
      <c r="B39" s="94" t="s">
        <v>333</v>
      </c>
      <c r="C39" s="98"/>
      <c r="D39" s="91"/>
      <c r="E39" s="32">
        <v>20</v>
      </c>
      <c r="F39" s="98"/>
      <c r="G39" s="95"/>
    </row>
    <row r="40" spans="1:7" ht="18" customHeight="1" x14ac:dyDescent="0.25">
      <c r="A40" s="15">
        <v>37</v>
      </c>
      <c r="B40" s="94" t="s">
        <v>334</v>
      </c>
      <c r="C40" s="98"/>
      <c r="D40" s="91"/>
      <c r="E40" s="32">
        <v>10</v>
      </c>
      <c r="F40" s="98"/>
      <c r="G40" s="95"/>
    </row>
    <row r="41" spans="1:7" ht="18" customHeight="1" x14ac:dyDescent="0.25">
      <c r="A41" s="15">
        <v>38</v>
      </c>
      <c r="B41" s="94" t="s">
        <v>196</v>
      </c>
      <c r="C41" s="98"/>
      <c r="D41" s="91"/>
      <c r="E41" s="32">
        <v>9</v>
      </c>
      <c r="F41" s="98"/>
      <c r="G41" s="95"/>
    </row>
    <row r="42" spans="1:7" ht="18" customHeight="1" x14ac:dyDescent="0.25">
      <c r="A42" s="15">
        <v>39</v>
      </c>
      <c r="B42" s="94" t="s">
        <v>89</v>
      </c>
      <c r="C42" s="98"/>
      <c r="D42" s="91"/>
      <c r="E42" s="32">
        <v>20</v>
      </c>
      <c r="F42" s="98"/>
      <c r="G42" s="95"/>
    </row>
    <row r="43" spans="1:7" ht="18" customHeight="1" x14ac:dyDescent="0.25">
      <c r="A43" s="15">
        <v>40</v>
      </c>
      <c r="B43" s="94" t="s">
        <v>335</v>
      </c>
      <c r="C43" s="98"/>
      <c r="D43" s="91"/>
      <c r="E43" s="32">
        <v>20</v>
      </c>
      <c r="F43" s="98"/>
      <c r="G43" s="95"/>
    </row>
    <row r="44" spans="1:7" ht="18" customHeight="1" x14ac:dyDescent="0.25">
      <c r="A44" s="15">
        <v>41</v>
      </c>
      <c r="B44" s="403" t="s">
        <v>336</v>
      </c>
      <c r="C44" s="98"/>
      <c r="D44" s="91"/>
      <c r="E44" s="32">
        <v>0</v>
      </c>
      <c r="F44" s="98"/>
      <c r="G44" s="95"/>
    </row>
    <row r="45" spans="1:7" ht="18" customHeight="1" x14ac:dyDescent="0.25">
      <c r="A45" s="15">
        <v>42</v>
      </c>
      <c r="B45" s="403" t="s">
        <v>337</v>
      </c>
      <c r="C45" s="98"/>
      <c r="D45" s="91"/>
      <c r="E45" s="32">
        <v>49</v>
      </c>
      <c r="F45" s="98"/>
      <c r="G45" s="95"/>
    </row>
    <row r="46" spans="1:7" ht="18" customHeight="1" x14ac:dyDescent="0.25">
      <c r="A46" s="15">
        <v>43</v>
      </c>
      <c r="B46" s="403" t="s">
        <v>338</v>
      </c>
      <c r="C46" s="98"/>
      <c r="D46" s="91"/>
      <c r="E46" s="32">
        <v>0</v>
      </c>
      <c r="F46" s="98"/>
      <c r="G46" s="95"/>
    </row>
    <row r="47" spans="1:7" ht="18" customHeight="1" x14ac:dyDescent="0.25">
      <c r="A47" s="15">
        <v>44</v>
      </c>
      <c r="B47" s="403" t="s">
        <v>339</v>
      </c>
      <c r="C47" s="98"/>
      <c r="D47" s="91"/>
      <c r="E47" s="32">
        <v>0</v>
      </c>
      <c r="F47" s="98"/>
      <c r="G47" s="95"/>
    </row>
    <row r="48" spans="1:7" ht="18" customHeight="1" x14ac:dyDescent="0.25">
      <c r="A48" s="15">
        <v>45</v>
      </c>
      <c r="B48" s="403" t="s">
        <v>340</v>
      </c>
      <c r="C48" s="98"/>
      <c r="D48" s="91"/>
      <c r="E48" s="32">
        <v>35</v>
      </c>
      <c r="F48" s="98"/>
      <c r="G48" s="95"/>
    </row>
    <row r="49" spans="1:8" ht="18" customHeight="1" x14ac:dyDescent="0.25">
      <c r="A49" s="15">
        <v>46</v>
      </c>
      <c r="B49" s="403" t="s">
        <v>341</v>
      </c>
      <c r="C49" s="98"/>
      <c r="D49" s="91"/>
      <c r="E49" s="32">
        <v>15</v>
      </c>
      <c r="F49" s="98"/>
      <c r="G49" s="95"/>
    </row>
    <row r="50" spans="1:8" ht="18" customHeight="1" x14ac:dyDescent="0.25">
      <c r="A50" s="15">
        <v>47</v>
      </c>
      <c r="B50" s="403" t="s">
        <v>342</v>
      </c>
      <c r="C50" s="402"/>
      <c r="D50" s="91"/>
      <c r="E50" s="32">
        <v>5</v>
      </c>
      <c r="F50" s="98"/>
      <c r="G50" s="95"/>
    </row>
    <row r="51" spans="1:8" ht="18" customHeight="1" x14ac:dyDescent="0.25">
      <c r="A51" s="15">
        <v>48</v>
      </c>
      <c r="B51" s="403" t="s">
        <v>343</v>
      </c>
      <c r="C51" s="402"/>
      <c r="D51" s="91"/>
      <c r="E51" s="32">
        <v>5</v>
      </c>
      <c r="F51" s="98"/>
      <c r="G51" s="95"/>
    </row>
    <row r="52" spans="1:8" ht="18" customHeight="1" x14ac:dyDescent="0.25">
      <c r="A52" s="15">
        <v>49</v>
      </c>
      <c r="B52" s="94" t="s">
        <v>344</v>
      </c>
      <c r="C52" s="98"/>
      <c r="D52" s="91"/>
      <c r="E52" s="32">
        <v>6</v>
      </c>
      <c r="F52" s="98"/>
      <c r="G52" s="95"/>
    </row>
    <row r="53" spans="1:8" ht="18" customHeight="1" x14ac:dyDescent="0.25">
      <c r="A53" s="15">
        <v>50</v>
      </c>
      <c r="B53" s="94" t="s">
        <v>103</v>
      </c>
      <c r="C53" s="98"/>
      <c r="D53" s="91"/>
      <c r="E53" s="32">
        <v>15</v>
      </c>
      <c r="F53" s="98"/>
      <c r="G53" s="95"/>
    </row>
    <row r="54" spans="1:8" ht="18" customHeight="1" x14ac:dyDescent="0.25">
      <c r="A54" s="93"/>
      <c r="B54" s="94"/>
      <c r="C54" s="98"/>
      <c r="D54" s="91"/>
      <c r="E54" s="32"/>
      <c r="F54" s="98">
        <f>SUM(F5:F36)</f>
        <v>93842.98000000001</v>
      </c>
      <c r="G54" s="95"/>
      <c r="H54" s="104">
        <v>72509.259999999995</v>
      </c>
    </row>
    <row r="55" spans="1:8" ht="18" customHeight="1" x14ac:dyDescent="0.25">
      <c r="A55" s="503" t="s">
        <v>75</v>
      </c>
      <c r="B55" s="503"/>
      <c r="C55" s="503"/>
      <c r="D55" s="503"/>
      <c r="E55" s="503"/>
      <c r="F55" s="503"/>
      <c r="G55" s="503"/>
    </row>
    <row r="56" spans="1:8" ht="18" customHeight="1" x14ac:dyDescent="0.25">
      <c r="A56" s="33">
        <v>35</v>
      </c>
      <c r="B56" s="34" t="s">
        <v>76</v>
      </c>
      <c r="C56" s="34"/>
      <c r="D56" s="44"/>
      <c r="E56" s="35">
        <v>0</v>
      </c>
      <c r="F56" s="62"/>
      <c r="G56" s="36"/>
    </row>
    <row r="57" spans="1:8" x14ac:dyDescent="0.25">
      <c r="A57" s="33">
        <v>36</v>
      </c>
      <c r="B57" s="34" t="s">
        <v>77</v>
      </c>
      <c r="C57" s="34"/>
      <c r="D57" s="44"/>
      <c r="E57" s="35">
        <v>0</v>
      </c>
      <c r="F57" s="62"/>
      <c r="G57" s="36"/>
    </row>
    <row r="58" spans="1:8" ht="18" customHeight="1" x14ac:dyDescent="0.25">
      <c r="A58" s="33">
        <v>37</v>
      </c>
      <c r="B58" s="34" t="s">
        <v>78</v>
      </c>
      <c r="C58" s="34"/>
      <c r="D58" s="44"/>
      <c r="E58" s="35">
        <v>0</v>
      </c>
      <c r="F58" s="62"/>
      <c r="G58" s="36"/>
    </row>
    <row r="59" spans="1:8" ht="18" customHeight="1" x14ac:dyDescent="0.25">
      <c r="A59" s="37">
        <v>38</v>
      </c>
      <c r="B59" s="38" t="s">
        <v>79</v>
      </c>
      <c r="C59" s="38"/>
      <c r="D59" s="45"/>
      <c r="E59" s="35">
        <v>0</v>
      </c>
      <c r="F59" s="63"/>
      <c r="G59" s="40"/>
    </row>
    <row r="60" spans="1:8" x14ac:dyDescent="0.25">
      <c r="A60" s="507" t="s">
        <v>163</v>
      </c>
      <c r="B60" s="507"/>
      <c r="C60" s="507"/>
      <c r="D60" s="507"/>
      <c r="E60" s="507"/>
      <c r="F60" s="507"/>
      <c r="G60" s="507"/>
    </row>
    <row r="61" spans="1:8" x14ac:dyDescent="0.25">
      <c r="A61" s="41">
        <v>39</v>
      </c>
      <c r="B61" s="42" t="s">
        <v>76</v>
      </c>
      <c r="C61" s="42"/>
      <c r="D61" s="43"/>
      <c r="E61" s="35">
        <v>1</v>
      </c>
      <c r="F61" s="65"/>
      <c r="G61" s="43"/>
    </row>
    <row r="62" spans="1:8" x14ac:dyDescent="0.25">
      <c r="A62" s="41">
        <v>40</v>
      </c>
      <c r="B62" s="42" t="s">
        <v>77</v>
      </c>
      <c r="C62" s="42"/>
      <c r="D62" s="43"/>
      <c r="E62" s="35">
        <v>22</v>
      </c>
      <c r="F62" s="65"/>
      <c r="G62" s="43"/>
    </row>
    <row r="63" spans="1:8" x14ac:dyDescent="0.25">
      <c r="A63" s="41">
        <v>41</v>
      </c>
      <c r="B63" s="42" t="s">
        <v>78</v>
      </c>
      <c r="C63" s="42"/>
      <c r="D63" s="43"/>
      <c r="E63" s="35">
        <v>20</v>
      </c>
      <c r="F63" s="65"/>
      <c r="G63" s="43"/>
    </row>
    <row r="64" spans="1:8" x14ac:dyDescent="0.25">
      <c r="A64" s="41">
        <v>42</v>
      </c>
      <c r="B64" s="42" t="s">
        <v>79</v>
      </c>
      <c r="C64" s="42"/>
      <c r="D64" s="43"/>
      <c r="E64" s="35">
        <v>9</v>
      </c>
      <c r="F64" s="65"/>
      <c r="G64" s="43"/>
    </row>
    <row r="66" spans="2:3" x14ac:dyDescent="0.25">
      <c r="B66" s="54" t="s">
        <v>345</v>
      </c>
      <c r="C66" s="54"/>
    </row>
  </sheetData>
  <autoFilter ref="A4:H4" xr:uid="{E1AD158C-C504-45CF-8A3C-D19F6621F7EC}"/>
  <mergeCells count="5">
    <mergeCell ref="A1:G1"/>
    <mergeCell ref="A2:G2"/>
    <mergeCell ref="A3:G3"/>
    <mergeCell ref="A55:G55"/>
    <mergeCell ref="A60:G6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2346-5641-44D2-BBB1-6572482D7812}">
  <sheetPr>
    <tabColor rgb="FF757171"/>
  </sheetPr>
  <dimension ref="A1:H65"/>
  <sheetViews>
    <sheetView topLeftCell="A25" workbookViewId="0">
      <selection activeCell="D36" sqref="D36"/>
    </sheetView>
  </sheetViews>
  <sheetFormatPr defaultRowHeight="15" x14ac:dyDescent="0.25"/>
  <cols>
    <col min="2" max="2" width="56.85546875" customWidth="1"/>
    <col min="3" max="3" width="13.42578125" customWidth="1"/>
    <col min="4" max="4" width="14" customWidth="1"/>
    <col min="5" max="6" width="12.7109375" customWidth="1"/>
    <col min="7" max="7" width="23.5703125" bestFit="1" customWidth="1"/>
    <col min="8" max="8" width="9.85546875" bestFit="1" customWidth="1"/>
  </cols>
  <sheetData>
    <row r="1" spans="1:7" ht="18" customHeight="1" x14ac:dyDescent="0.25">
      <c r="A1" s="443" t="s">
        <v>346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347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348</v>
      </c>
      <c r="B3" s="457"/>
      <c r="C3" s="457"/>
      <c r="D3" s="457"/>
      <c r="E3" s="457"/>
      <c r="F3" s="457"/>
      <c r="G3" s="458"/>
    </row>
    <row r="4" spans="1:7" x14ac:dyDescent="0.25">
      <c r="A4" s="48" t="s">
        <v>3</v>
      </c>
      <c r="B4" s="48" t="s">
        <v>4</v>
      </c>
      <c r="C4" s="252" t="s">
        <v>5</v>
      </c>
      <c r="D4" s="253" t="s">
        <v>6</v>
      </c>
      <c r="E4" s="253" t="s">
        <v>7</v>
      </c>
      <c r="F4" s="76" t="s">
        <v>8</v>
      </c>
      <c r="G4" s="254" t="s">
        <v>9</v>
      </c>
    </row>
    <row r="5" spans="1:7" s="275" customFormat="1" x14ac:dyDescent="0.25">
      <c r="A5" s="20"/>
      <c r="B5" s="74" t="s">
        <v>201</v>
      </c>
      <c r="C5" s="183">
        <v>69.900000000000006</v>
      </c>
      <c r="D5" s="17">
        <v>38</v>
      </c>
      <c r="E5" s="167">
        <v>0</v>
      </c>
      <c r="F5" s="185">
        <f t="shared" ref="F5:F9" si="0">C5*E5</f>
        <v>0</v>
      </c>
      <c r="G5" s="23" t="s">
        <v>349</v>
      </c>
    </row>
    <row r="6" spans="1:7" s="275" customFormat="1" x14ac:dyDescent="0.25">
      <c r="A6" s="20"/>
      <c r="B6" s="74" t="s">
        <v>202</v>
      </c>
      <c r="C6" s="183">
        <v>69.900000000000006</v>
      </c>
      <c r="D6" s="18">
        <v>39</v>
      </c>
      <c r="E6" s="167">
        <v>0</v>
      </c>
      <c r="F6" s="185">
        <f t="shared" si="0"/>
        <v>0</v>
      </c>
      <c r="G6" s="23" t="s">
        <v>349</v>
      </c>
    </row>
    <row r="7" spans="1:7" s="275" customFormat="1" x14ac:dyDescent="0.25">
      <c r="A7" s="20"/>
      <c r="B7" s="74" t="s">
        <v>203</v>
      </c>
      <c r="C7" s="183">
        <v>69.900000000000006</v>
      </c>
      <c r="D7" s="16">
        <v>40</v>
      </c>
      <c r="E7" s="167">
        <v>0</v>
      </c>
      <c r="F7" s="185">
        <f t="shared" si="0"/>
        <v>0</v>
      </c>
      <c r="G7" s="23" t="s">
        <v>349</v>
      </c>
    </row>
    <row r="8" spans="1:7" s="275" customFormat="1" x14ac:dyDescent="0.25">
      <c r="A8" s="20"/>
      <c r="B8" s="74" t="s">
        <v>204</v>
      </c>
      <c r="C8" s="183">
        <v>69.900000000000006</v>
      </c>
      <c r="D8" s="17">
        <v>41</v>
      </c>
      <c r="E8" s="167">
        <v>0</v>
      </c>
      <c r="F8" s="185">
        <f t="shared" si="0"/>
        <v>0</v>
      </c>
      <c r="G8" s="23" t="s">
        <v>349</v>
      </c>
    </row>
    <row r="9" spans="1:7" s="275" customFormat="1" x14ac:dyDescent="0.25">
      <c r="A9" s="20"/>
      <c r="B9" s="74" t="s">
        <v>205</v>
      </c>
      <c r="C9" s="183">
        <v>69.900000000000006</v>
      </c>
      <c r="D9" s="17">
        <v>42</v>
      </c>
      <c r="E9" s="167">
        <v>0</v>
      </c>
      <c r="F9" s="185">
        <f t="shared" si="0"/>
        <v>0</v>
      </c>
      <c r="G9" s="23" t="s">
        <v>349</v>
      </c>
    </row>
    <row r="10" spans="1:7" x14ac:dyDescent="0.25">
      <c r="A10" s="276"/>
      <c r="B10" s="277" t="s">
        <v>86</v>
      </c>
      <c r="C10" s="280">
        <v>104.29</v>
      </c>
      <c r="D10" s="278">
        <v>34</v>
      </c>
      <c r="E10" s="32">
        <v>5</v>
      </c>
      <c r="F10" s="280">
        <f t="shared" ref="F10:F52" si="1">E10*C10</f>
        <v>521.45000000000005</v>
      </c>
      <c r="G10" s="23"/>
    </row>
    <row r="11" spans="1:7" x14ac:dyDescent="0.25">
      <c r="A11" s="15"/>
      <c r="B11" s="3" t="s">
        <v>86</v>
      </c>
      <c r="C11" s="281">
        <v>104.29</v>
      </c>
      <c r="D11" s="20">
        <v>35</v>
      </c>
      <c r="E11" s="5">
        <v>5</v>
      </c>
      <c r="F11" s="281">
        <f t="shared" si="1"/>
        <v>521.45000000000005</v>
      </c>
      <c r="G11" s="23"/>
    </row>
    <row r="12" spans="1:7" x14ac:dyDescent="0.25">
      <c r="A12" s="15"/>
      <c r="B12" s="3" t="s">
        <v>86</v>
      </c>
      <c r="C12" s="281">
        <v>104.29</v>
      </c>
      <c r="D12" s="20">
        <v>36</v>
      </c>
      <c r="E12" s="5">
        <v>10</v>
      </c>
      <c r="F12" s="281">
        <f t="shared" si="1"/>
        <v>1042.9000000000001</v>
      </c>
      <c r="G12" s="23"/>
    </row>
    <row r="13" spans="1:7" x14ac:dyDescent="0.25">
      <c r="A13" s="15"/>
      <c r="B13" s="3" t="s">
        <v>86</v>
      </c>
      <c r="C13" s="281">
        <v>104.29</v>
      </c>
      <c r="D13" s="21">
        <v>37</v>
      </c>
      <c r="E13" s="5">
        <v>10</v>
      </c>
      <c r="F13" s="281">
        <f t="shared" si="1"/>
        <v>1042.9000000000001</v>
      </c>
      <c r="G13" s="23"/>
    </row>
    <row r="14" spans="1:7" x14ac:dyDescent="0.25">
      <c r="A14" s="15"/>
      <c r="B14" s="3" t="s">
        <v>86</v>
      </c>
      <c r="C14" s="281">
        <v>104.29</v>
      </c>
      <c r="D14" s="5">
        <v>38</v>
      </c>
      <c r="E14" s="5">
        <v>5</v>
      </c>
      <c r="F14" s="281">
        <f t="shared" si="1"/>
        <v>521.45000000000005</v>
      </c>
      <c r="G14" s="23"/>
    </row>
    <row r="15" spans="1:7" x14ac:dyDescent="0.25">
      <c r="A15" s="15"/>
      <c r="B15" s="3" t="s">
        <v>86</v>
      </c>
      <c r="C15" s="281">
        <v>104.29</v>
      </c>
      <c r="D15" s="20">
        <v>39</v>
      </c>
      <c r="E15" s="19">
        <v>10</v>
      </c>
      <c r="F15" s="281">
        <f t="shared" si="1"/>
        <v>1042.9000000000001</v>
      </c>
      <c r="G15" s="22"/>
    </row>
    <row r="16" spans="1:7" x14ac:dyDescent="0.25">
      <c r="A16" s="15"/>
      <c r="B16" s="3" t="s">
        <v>86</v>
      </c>
      <c r="C16" s="281">
        <v>104.29</v>
      </c>
      <c r="D16" s="20">
        <v>40</v>
      </c>
      <c r="E16" s="24">
        <v>5</v>
      </c>
      <c r="F16" s="281">
        <f t="shared" si="1"/>
        <v>521.45000000000005</v>
      </c>
      <c r="G16" s="22"/>
    </row>
    <row r="17" spans="1:7" x14ac:dyDescent="0.25">
      <c r="A17" s="15"/>
      <c r="B17" s="3" t="s">
        <v>86</v>
      </c>
      <c r="C17" s="281">
        <v>104.29</v>
      </c>
      <c r="D17" s="21">
        <v>41</v>
      </c>
      <c r="E17" s="24">
        <v>10</v>
      </c>
      <c r="F17" s="281">
        <f t="shared" si="1"/>
        <v>1042.9000000000001</v>
      </c>
      <c r="G17" s="13"/>
    </row>
    <row r="18" spans="1:7" x14ac:dyDescent="0.25">
      <c r="A18" s="15"/>
      <c r="B18" s="3" t="s">
        <v>86</v>
      </c>
      <c r="C18" s="281">
        <v>104.29</v>
      </c>
      <c r="D18" s="21">
        <v>42</v>
      </c>
      <c r="E18" s="24">
        <v>0</v>
      </c>
      <c r="F18" s="281">
        <f t="shared" si="1"/>
        <v>0</v>
      </c>
      <c r="G18" s="23" t="s">
        <v>349</v>
      </c>
    </row>
    <row r="19" spans="1:7" x14ac:dyDescent="0.25">
      <c r="A19" s="15"/>
      <c r="B19" s="3" t="s">
        <v>86</v>
      </c>
      <c r="C19" s="281">
        <v>104.29</v>
      </c>
      <c r="D19" s="21">
        <v>43</v>
      </c>
      <c r="E19" s="24">
        <v>0</v>
      </c>
      <c r="F19" s="281">
        <f t="shared" si="1"/>
        <v>0</v>
      </c>
      <c r="G19" s="23" t="s">
        <v>349</v>
      </c>
    </row>
    <row r="20" spans="1:7" x14ac:dyDescent="0.25">
      <c r="A20" s="15"/>
      <c r="B20" s="3" t="s">
        <v>86</v>
      </c>
      <c r="C20" s="281">
        <v>104.29</v>
      </c>
      <c r="D20" s="21">
        <v>44</v>
      </c>
      <c r="E20" s="24">
        <v>3</v>
      </c>
      <c r="F20" s="281">
        <f t="shared" si="1"/>
        <v>312.87</v>
      </c>
      <c r="G20" s="23" t="s">
        <v>349</v>
      </c>
    </row>
    <row r="21" spans="1:7" x14ac:dyDescent="0.25">
      <c r="A21" s="15"/>
      <c r="B21" s="3" t="s">
        <v>86</v>
      </c>
      <c r="C21" s="281">
        <v>104.29</v>
      </c>
      <c r="D21" s="21">
        <v>45</v>
      </c>
      <c r="E21" s="24">
        <v>3</v>
      </c>
      <c r="F21" s="281">
        <f t="shared" si="1"/>
        <v>312.87</v>
      </c>
      <c r="G21" s="13"/>
    </row>
    <row r="22" spans="1:7" x14ac:dyDescent="0.25">
      <c r="A22" s="15"/>
      <c r="B22" s="3" t="s">
        <v>86</v>
      </c>
      <c r="C22" s="281">
        <v>104.29</v>
      </c>
      <c r="D22" s="21">
        <v>46</v>
      </c>
      <c r="E22" s="24">
        <v>3</v>
      </c>
      <c r="F22" s="281">
        <f t="shared" si="1"/>
        <v>312.87</v>
      </c>
      <c r="G22" s="13"/>
    </row>
    <row r="23" spans="1:7" x14ac:dyDescent="0.25">
      <c r="A23" s="15"/>
      <c r="B23" s="3" t="s">
        <v>86</v>
      </c>
      <c r="C23" s="281">
        <v>104.29</v>
      </c>
      <c r="D23" s="21">
        <v>47</v>
      </c>
      <c r="E23" s="24">
        <v>0</v>
      </c>
      <c r="F23" s="281">
        <f t="shared" si="1"/>
        <v>0</v>
      </c>
      <c r="G23" s="13"/>
    </row>
    <row r="24" spans="1:7" x14ac:dyDescent="0.25">
      <c r="A24" s="15"/>
      <c r="B24" s="3" t="s">
        <v>86</v>
      </c>
      <c r="C24" s="281">
        <v>104.29</v>
      </c>
      <c r="D24" s="21">
        <v>48</v>
      </c>
      <c r="E24" s="24">
        <v>0</v>
      </c>
      <c r="F24" s="281">
        <f t="shared" si="1"/>
        <v>0</v>
      </c>
      <c r="G24" s="13"/>
    </row>
    <row r="25" spans="1:7" x14ac:dyDescent="0.25">
      <c r="A25" s="15"/>
      <c r="B25" s="8" t="s">
        <v>87</v>
      </c>
      <c r="C25" s="282">
        <v>40</v>
      </c>
      <c r="D25" s="21" t="s">
        <v>31</v>
      </c>
      <c r="E25" s="24">
        <v>0</v>
      </c>
      <c r="F25" s="281">
        <f t="shared" si="1"/>
        <v>0</v>
      </c>
      <c r="G25" s="13"/>
    </row>
    <row r="26" spans="1:7" x14ac:dyDescent="0.25">
      <c r="A26" s="15"/>
      <c r="B26" s="8" t="s">
        <v>87</v>
      </c>
      <c r="C26" s="282">
        <v>40</v>
      </c>
      <c r="D26" s="21" t="s">
        <v>28</v>
      </c>
      <c r="E26" s="24">
        <v>0</v>
      </c>
      <c r="F26" s="281">
        <f t="shared" si="1"/>
        <v>0</v>
      </c>
      <c r="G26" s="13"/>
    </row>
    <row r="27" spans="1:7" x14ac:dyDescent="0.25">
      <c r="A27" s="15"/>
      <c r="B27" s="8" t="s">
        <v>87</v>
      </c>
      <c r="C27" s="282">
        <v>40</v>
      </c>
      <c r="D27" s="5" t="s">
        <v>29</v>
      </c>
      <c r="E27" s="24">
        <v>3</v>
      </c>
      <c r="F27" s="281">
        <f t="shared" si="1"/>
        <v>120</v>
      </c>
      <c r="G27" s="23" t="s">
        <v>349</v>
      </c>
    </row>
    <row r="28" spans="1:7" x14ac:dyDescent="0.25">
      <c r="A28" s="15"/>
      <c r="B28" s="8" t="s">
        <v>87</v>
      </c>
      <c r="C28" s="282">
        <v>40</v>
      </c>
      <c r="D28" s="21" t="s">
        <v>37</v>
      </c>
      <c r="E28" s="24">
        <v>0</v>
      </c>
      <c r="F28" s="281">
        <f t="shared" si="1"/>
        <v>0</v>
      </c>
      <c r="G28" s="13"/>
    </row>
    <row r="29" spans="1:7" x14ac:dyDescent="0.25">
      <c r="A29" s="15"/>
      <c r="B29" s="9" t="s">
        <v>40</v>
      </c>
      <c r="C29" s="281">
        <v>87.97</v>
      </c>
      <c r="D29" s="21"/>
      <c r="E29" s="24">
        <v>3</v>
      </c>
      <c r="F29" s="281">
        <f t="shared" si="1"/>
        <v>263.90999999999997</v>
      </c>
      <c r="G29" s="22" t="s">
        <v>350</v>
      </c>
    </row>
    <row r="30" spans="1:7" x14ac:dyDescent="0.25">
      <c r="A30" s="15"/>
      <c r="B30" s="7" t="s">
        <v>127</v>
      </c>
      <c r="C30" s="283">
        <v>39</v>
      </c>
      <c r="D30" s="5"/>
      <c r="E30" s="24">
        <v>10</v>
      </c>
      <c r="F30" s="281">
        <f t="shared" si="1"/>
        <v>390</v>
      </c>
      <c r="G30" s="22" t="s">
        <v>350</v>
      </c>
    </row>
    <row r="31" spans="1:7" x14ac:dyDescent="0.25">
      <c r="A31" s="15"/>
      <c r="B31" s="9" t="s">
        <v>96</v>
      </c>
      <c r="C31" s="284">
        <v>38</v>
      </c>
      <c r="D31" s="5"/>
      <c r="E31" s="24">
        <v>5</v>
      </c>
      <c r="F31" s="281">
        <f t="shared" si="1"/>
        <v>190</v>
      </c>
      <c r="G31" s="22" t="s">
        <v>350</v>
      </c>
    </row>
    <row r="32" spans="1:7" x14ac:dyDescent="0.25">
      <c r="A32" s="20"/>
      <c r="B32" s="74" t="s">
        <v>231</v>
      </c>
      <c r="C32" s="290">
        <v>9.8000000000000007</v>
      </c>
      <c r="D32" s="17" t="s">
        <v>29</v>
      </c>
      <c r="E32" s="167">
        <v>0</v>
      </c>
      <c r="F32" s="185">
        <f>C32*E32</f>
        <v>0</v>
      </c>
      <c r="G32" s="22" t="s">
        <v>350</v>
      </c>
    </row>
    <row r="33" spans="1:7" x14ac:dyDescent="0.25">
      <c r="A33" s="15"/>
      <c r="B33" s="288" t="s">
        <v>133</v>
      </c>
      <c r="C33" s="178">
        <v>35.89</v>
      </c>
      <c r="D33" s="279" t="s">
        <v>31</v>
      </c>
      <c r="E33" s="5">
        <v>3</v>
      </c>
      <c r="F33" s="287">
        <f t="shared" ref="F33:F38" si="2">E33*C33</f>
        <v>107.67</v>
      </c>
      <c r="G33" s="22" t="s">
        <v>350</v>
      </c>
    </row>
    <row r="34" spans="1:7" x14ac:dyDescent="0.25">
      <c r="A34" s="15"/>
      <c r="B34" s="288" t="s">
        <v>133</v>
      </c>
      <c r="C34" s="178">
        <v>35.89</v>
      </c>
      <c r="D34" s="279" t="s">
        <v>28</v>
      </c>
      <c r="E34" s="20">
        <v>0</v>
      </c>
      <c r="F34" s="287">
        <f t="shared" si="2"/>
        <v>0</v>
      </c>
      <c r="G34" s="22" t="s">
        <v>350</v>
      </c>
    </row>
    <row r="35" spans="1:7" x14ac:dyDescent="0.25">
      <c r="A35" s="15"/>
      <c r="B35" s="288" t="s">
        <v>133</v>
      </c>
      <c r="C35" s="178">
        <v>35.89</v>
      </c>
      <c r="D35" s="279" t="s">
        <v>29</v>
      </c>
      <c r="E35" s="5">
        <v>15</v>
      </c>
      <c r="F35" s="287">
        <f t="shared" si="2"/>
        <v>538.35</v>
      </c>
      <c r="G35" s="22" t="s">
        <v>350</v>
      </c>
    </row>
    <row r="36" spans="1:7" x14ac:dyDescent="0.25">
      <c r="A36" s="15"/>
      <c r="B36" s="288" t="s">
        <v>133</v>
      </c>
      <c r="C36" s="178">
        <v>35.89</v>
      </c>
      <c r="D36" s="279" t="s">
        <v>32</v>
      </c>
      <c r="E36" s="20">
        <v>15</v>
      </c>
      <c r="F36" s="287">
        <f t="shared" si="2"/>
        <v>538.35</v>
      </c>
      <c r="G36" s="22" t="s">
        <v>350</v>
      </c>
    </row>
    <row r="37" spans="1:7" x14ac:dyDescent="0.25">
      <c r="A37" s="15"/>
      <c r="B37" s="288" t="s">
        <v>72</v>
      </c>
      <c r="C37" s="178">
        <v>0</v>
      </c>
      <c r="D37" s="279" t="s">
        <v>351</v>
      </c>
      <c r="E37" s="20">
        <v>0</v>
      </c>
      <c r="F37" s="287">
        <f t="shared" si="2"/>
        <v>0</v>
      </c>
      <c r="G37" s="22" t="s">
        <v>350</v>
      </c>
    </row>
    <row r="38" spans="1:7" x14ac:dyDescent="0.25">
      <c r="A38" s="15"/>
      <c r="B38" s="289" t="s">
        <v>119</v>
      </c>
      <c r="C38" s="178">
        <v>22.19</v>
      </c>
      <c r="D38" s="279" t="s">
        <v>351</v>
      </c>
      <c r="E38" s="20">
        <v>0</v>
      </c>
      <c r="F38" s="287">
        <f t="shared" si="2"/>
        <v>0</v>
      </c>
      <c r="G38" s="22" t="s">
        <v>350</v>
      </c>
    </row>
    <row r="39" spans="1:7" x14ac:dyDescent="0.25">
      <c r="A39" s="15"/>
      <c r="B39" s="9" t="s">
        <v>64</v>
      </c>
      <c r="C39" s="285">
        <v>4.8499999999999996</v>
      </c>
      <c r="D39" s="6"/>
      <c r="E39" s="24">
        <v>10</v>
      </c>
      <c r="F39" s="281">
        <f t="shared" si="1"/>
        <v>48.5</v>
      </c>
      <c r="G39" s="22" t="s">
        <v>350</v>
      </c>
    </row>
    <row r="40" spans="1:7" x14ac:dyDescent="0.25">
      <c r="A40" s="15"/>
      <c r="B40" s="10" t="s">
        <v>63</v>
      </c>
      <c r="C40" s="285">
        <v>4</v>
      </c>
      <c r="D40" s="6"/>
      <c r="E40" s="24">
        <v>10</v>
      </c>
      <c r="F40" s="281">
        <f t="shared" si="1"/>
        <v>40</v>
      </c>
      <c r="G40" s="22" t="s">
        <v>350</v>
      </c>
    </row>
    <row r="41" spans="1:7" x14ac:dyDescent="0.25">
      <c r="A41" s="15"/>
      <c r="B41" s="10" t="s">
        <v>42</v>
      </c>
      <c r="C41" s="281">
        <v>21</v>
      </c>
      <c r="D41" s="6"/>
      <c r="E41" s="24">
        <v>10</v>
      </c>
      <c r="F41" s="281">
        <f t="shared" si="1"/>
        <v>210</v>
      </c>
      <c r="G41" s="13"/>
    </row>
    <row r="42" spans="1:7" x14ac:dyDescent="0.25">
      <c r="A42" s="15"/>
      <c r="B42" s="9" t="s">
        <v>90</v>
      </c>
      <c r="C42" s="281">
        <v>28.94</v>
      </c>
      <c r="D42" s="6"/>
      <c r="E42" s="24">
        <v>2</v>
      </c>
      <c r="F42" s="281">
        <f t="shared" si="1"/>
        <v>57.88</v>
      </c>
      <c r="G42" s="22" t="s">
        <v>350</v>
      </c>
    </row>
    <row r="43" spans="1:7" ht="15" customHeight="1" x14ac:dyDescent="0.25">
      <c r="A43" s="15"/>
      <c r="B43" s="8" t="s">
        <v>352</v>
      </c>
      <c r="C43" s="281">
        <v>15.19</v>
      </c>
      <c r="D43" s="6"/>
      <c r="E43" s="24">
        <v>10</v>
      </c>
      <c r="F43" s="281">
        <f t="shared" si="1"/>
        <v>151.9</v>
      </c>
      <c r="G43" s="22" t="s">
        <v>350</v>
      </c>
    </row>
    <row r="44" spans="1:7" ht="15" customHeight="1" x14ac:dyDescent="0.25">
      <c r="A44" s="15"/>
      <c r="B44" s="11" t="s">
        <v>10</v>
      </c>
      <c r="C44" s="281">
        <v>126.1</v>
      </c>
      <c r="D44" s="6"/>
      <c r="E44" s="24">
        <v>30</v>
      </c>
      <c r="F44" s="281">
        <f t="shared" si="1"/>
        <v>3783</v>
      </c>
      <c r="G44" s="13"/>
    </row>
    <row r="45" spans="1:7" ht="15" customHeight="1" x14ac:dyDescent="0.25">
      <c r="A45" s="15"/>
      <c r="B45" s="11" t="s">
        <v>38</v>
      </c>
      <c r="C45" s="281">
        <v>75</v>
      </c>
      <c r="D45" s="6"/>
      <c r="E45" s="24">
        <v>10</v>
      </c>
      <c r="F45" s="281">
        <f t="shared" si="1"/>
        <v>750</v>
      </c>
      <c r="G45" s="13"/>
    </row>
    <row r="46" spans="1:7" ht="18" customHeight="1" x14ac:dyDescent="0.25">
      <c r="A46" s="15"/>
      <c r="B46" s="11" t="s">
        <v>41</v>
      </c>
      <c r="C46" s="281">
        <v>584.20000000000005</v>
      </c>
      <c r="D46" s="6"/>
      <c r="E46" s="24">
        <v>10</v>
      </c>
      <c r="F46" s="281">
        <f t="shared" si="1"/>
        <v>5842</v>
      </c>
      <c r="G46" s="13"/>
    </row>
    <row r="47" spans="1:7" ht="18" customHeight="1" x14ac:dyDescent="0.25">
      <c r="A47" s="15"/>
      <c r="B47" s="11" t="s">
        <v>69</v>
      </c>
      <c r="C47" s="281">
        <v>890.46</v>
      </c>
      <c r="D47" s="6"/>
      <c r="E47" s="24">
        <v>35</v>
      </c>
      <c r="F47" s="281">
        <f t="shared" si="1"/>
        <v>31166.100000000002</v>
      </c>
      <c r="G47" s="22"/>
    </row>
    <row r="48" spans="1:7" ht="18" customHeight="1" x14ac:dyDescent="0.25">
      <c r="A48" s="15"/>
      <c r="B48" s="11" t="s">
        <v>70</v>
      </c>
      <c r="C48" s="281">
        <v>355</v>
      </c>
      <c r="D48" s="6"/>
      <c r="E48" s="24">
        <v>10</v>
      </c>
      <c r="F48" s="281">
        <f t="shared" si="1"/>
        <v>3550</v>
      </c>
      <c r="G48" s="13"/>
    </row>
    <row r="49" spans="1:8" ht="18" customHeight="1" x14ac:dyDescent="0.25">
      <c r="A49" s="15"/>
      <c r="B49" s="11" t="s">
        <v>71</v>
      </c>
      <c r="C49" s="281">
        <v>280.39</v>
      </c>
      <c r="D49" s="6"/>
      <c r="E49" s="24">
        <v>10</v>
      </c>
      <c r="F49" s="281">
        <f t="shared" si="1"/>
        <v>2803.8999999999996</v>
      </c>
      <c r="G49" s="13"/>
    </row>
    <row r="50" spans="1:8" ht="18" customHeight="1" x14ac:dyDescent="0.25">
      <c r="A50" s="15"/>
      <c r="B50" s="11" t="s">
        <v>73</v>
      </c>
      <c r="C50" s="281">
        <v>311.64999999999998</v>
      </c>
      <c r="D50" s="6"/>
      <c r="E50" s="24">
        <v>35</v>
      </c>
      <c r="F50" s="281">
        <f t="shared" si="1"/>
        <v>10907.75</v>
      </c>
      <c r="G50" s="22"/>
    </row>
    <row r="51" spans="1:8" ht="18" customHeight="1" x14ac:dyDescent="0.25">
      <c r="A51" s="15"/>
      <c r="B51" s="11" t="s">
        <v>334</v>
      </c>
      <c r="C51" s="286"/>
      <c r="D51" s="6"/>
      <c r="E51" s="24">
        <v>5</v>
      </c>
      <c r="F51" s="281">
        <f t="shared" si="1"/>
        <v>0</v>
      </c>
      <c r="G51" s="22" t="s">
        <v>349</v>
      </c>
    </row>
    <row r="52" spans="1:8" ht="18" customHeight="1" x14ac:dyDescent="0.25">
      <c r="A52" s="15"/>
      <c r="B52" s="11" t="s">
        <v>335</v>
      </c>
      <c r="C52" s="286"/>
      <c r="D52" s="6"/>
      <c r="E52" s="24">
        <v>5</v>
      </c>
      <c r="F52" s="281">
        <f t="shared" si="1"/>
        <v>0</v>
      </c>
      <c r="G52" s="22" t="s">
        <v>349</v>
      </c>
      <c r="H52" s="104">
        <v>28795.49</v>
      </c>
    </row>
    <row r="53" spans="1:8" ht="18" customHeight="1" x14ac:dyDescent="0.25">
      <c r="A53" s="93"/>
      <c r="B53" s="94"/>
      <c r="C53" s="94"/>
      <c r="D53" s="91"/>
      <c r="E53" s="24"/>
      <c r="F53" s="280">
        <f>SUM(F10:F52)</f>
        <v>68655.320000000007</v>
      </c>
      <c r="G53" s="103"/>
    </row>
    <row r="54" spans="1:8" ht="18" customHeight="1" x14ac:dyDescent="0.25">
      <c r="A54" s="503" t="s">
        <v>75</v>
      </c>
      <c r="B54" s="503"/>
      <c r="C54" s="503"/>
      <c r="D54" s="503"/>
      <c r="E54" s="503"/>
      <c r="F54" s="503"/>
      <c r="G54" s="503"/>
    </row>
    <row r="55" spans="1:8" x14ac:dyDescent="0.25">
      <c r="A55" s="33">
        <v>37</v>
      </c>
      <c r="B55" s="34" t="s">
        <v>76</v>
      </c>
      <c r="C55" s="34"/>
      <c r="D55" s="44"/>
      <c r="E55" s="46">
        <v>40</v>
      </c>
      <c r="F55" s="66"/>
      <c r="G55" s="22" t="s">
        <v>349</v>
      </c>
    </row>
    <row r="56" spans="1:8" ht="18" customHeight="1" x14ac:dyDescent="0.25">
      <c r="A56" s="33">
        <v>38</v>
      </c>
      <c r="B56" s="34" t="s">
        <v>77</v>
      </c>
      <c r="C56" s="34"/>
      <c r="D56" s="44"/>
      <c r="E56" s="46">
        <v>0</v>
      </c>
      <c r="F56" s="66"/>
      <c r="G56" s="22" t="s">
        <v>349</v>
      </c>
    </row>
    <row r="57" spans="1:8" ht="18" customHeight="1" x14ac:dyDescent="0.25">
      <c r="A57" s="33">
        <v>39</v>
      </c>
      <c r="B57" s="34" t="s">
        <v>78</v>
      </c>
      <c r="C57" s="34"/>
      <c r="D57" s="44"/>
      <c r="E57" s="46">
        <v>60</v>
      </c>
      <c r="F57" s="66"/>
      <c r="G57" s="22" t="s">
        <v>349</v>
      </c>
    </row>
    <row r="58" spans="1:8" x14ac:dyDescent="0.25">
      <c r="A58" s="37">
        <v>40</v>
      </c>
      <c r="B58" s="38" t="s">
        <v>79</v>
      </c>
      <c r="C58" s="38"/>
      <c r="D58" s="45"/>
      <c r="E58" s="47">
        <v>30</v>
      </c>
      <c r="F58" s="67"/>
      <c r="G58" s="22" t="s">
        <v>349</v>
      </c>
    </row>
    <row r="59" spans="1:8" x14ac:dyDescent="0.25">
      <c r="A59" s="507" t="s">
        <v>163</v>
      </c>
      <c r="B59" s="507"/>
      <c r="C59" s="507"/>
      <c r="D59" s="507"/>
      <c r="E59" s="507"/>
      <c r="F59" s="507"/>
      <c r="G59" s="507"/>
    </row>
    <row r="60" spans="1:8" x14ac:dyDescent="0.25">
      <c r="A60" s="41">
        <v>41</v>
      </c>
      <c r="B60" s="42" t="s">
        <v>76</v>
      </c>
      <c r="C60" s="42"/>
      <c r="D60" s="43"/>
      <c r="E60" s="35">
        <v>0</v>
      </c>
      <c r="F60" s="65"/>
      <c r="G60" s="22" t="s">
        <v>349</v>
      </c>
    </row>
    <row r="61" spans="1:8" x14ac:dyDescent="0.25">
      <c r="A61" s="41">
        <v>42</v>
      </c>
      <c r="B61" s="42" t="s">
        <v>77</v>
      </c>
      <c r="C61" s="42"/>
      <c r="D61" s="43"/>
      <c r="E61" s="35">
        <v>0</v>
      </c>
      <c r="F61" s="65"/>
      <c r="G61" s="22" t="s">
        <v>349</v>
      </c>
    </row>
    <row r="62" spans="1:8" x14ac:dyDescent="0.25">
      <c r="A62" s="41">
        <v>43</v>
      </c>
      <c r="B62" s="42" t="s">
        <v>78</v>
      </c>
      <c r="C62" s="42"/>
      <c r="D62" s="43"/>
      <c r="E62" s="35">
        <v>0</v>
      </c>
      <c r="F62" s="65"/>
      <c r="G62" s="22" t="s">
        <v>349</v>
      </c>
    </row>
    <row r="63" spans="1:8" x14ac:dyDescent="0.25">
      <c r="A63" s="41">
        <v>44</v>
      </c>
      <c r="B63" s="42" t="s">
        <v>79</v>
      </c>
      <c r="C63" s="42"/>
      <c r="D63" s="43"/>
      <c r="E63" s="35">
        <v>0</v>
      </c>
      <c r="F63" s="65"/>
      <c r="G63" s="22" t="s">
        <v>349</v>
      </c>
    </row>
    <row r="65" spans="2:3" x14ac:dyDescent="0.25">
      <c r="B65" s="54" t="s">
        <v>353</v>
      </c>
      <c r="C65" s="54"/>
    </row>
  </sheetData>
  <mergeCells count="5">
    <mergeCell ref="A1:G1"/>
    <mergeCell ref="A2:G2"/>
    <mergeCell ref="A3:G3"/>
    <mergeCell ref="A54:G54"/>
    <mergeCell ref="A59:G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AF42-3868-43BA-95C2-A9C0ED1E4AAE}">
  <sheetPr>
    <tabColor rgb="FFACB9CA"/>
  </sheetPr>
  <dimension ref="A1:H50"/>
  <sheetViews>
    <sheetView workbookViewId="0">
      <selection activeCell="H37" sqref="H37"/>
    </sheetView>
  </sheetViews>
  <sheetFormatPr defaultRowHeight="15" x14ac:dyDescent="0.25"/>
  <cols>
    <col min="2" max="2" width="56.85546875" customWidth="1"/>
    <col min="3" max="3" width="10.140625" customWidth="1"/>
    <col min="4" max="4" width="14" customWidth="1"/>
    <col min="5" max="6" width="12.7109375" customWidth="1"/>
    <col min="7" max="7" width="14.140625" customWidth="1"/>
    <col min="8" max="8" width="9.85546875" bestFit="1" customWidth="1"/>
  </cols>
  <sheetData>
    <row r="1" spans="1:7" ht="18" customHeight="1" x14ac:dyDescent="0.25">
      <c r="A1" s="443" t="s">
        <v>354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355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356</v>
      </c>
      <c r="B3" s="457"/>
      <c r="C3" s="457"/>
      <c r="D3" s="457"/>
      <c r="E3" s="457"/>
      <c r="F3" s="457"/>
      <c r="G3" s="458"/>
    </row>
    <row r="4" spans="1:7" x14ac:dyDescent="0.25">
      <c r="A4" s="14" t="s">
        <v>3</v>
      </c>
      <c r="B4" s="14" t="s">
        <v>4</v>
      </c>
      <c r="C4" s="60" t="s">
        <v>5</v>
      </c>
      <c r="D4" s="2" t="s">
        <v>6</v>
      </c>
      <c r="E4" s="2" t="s">
        <v>7</v>
      </c>
      <c r="F4" s="61" t="s">
        <v>8</v>
      </c>
      <c r="G4" s="12" t="s">
        <v>9</v>
      </c>
    </row>
    <row r="5" spans="1:7" x14ac:dyDescent="0.25">
      <c r="A5" s="15">
        <v>1</v>
      </c>
      <c r="B5" s="3" t="s">
        <v>86</v>
      </c>
      <c r="C5" s="70">
        <v>104.29</v>
      </c>
      <c r="D5" s="4">
        <v>34</v>
      </c>
      <c r="E5" s="5">
        <v>1</v>
      </c>
      <c r="F5" s="68">
        <f t="shared" ref="F5:F36" si="0">E5*C5</f>
        <v>104.29</v>
      </c>
      <c r="G5" s="13"/>
    </row>
    <row r="6" spans="1:7" x14ac:dyDescent="0.25">
      <c r="A6" s="15">
        <v>2</v>
      </c>
      <c r="B6" s="3" t="s">
        <v>86</v>
      </c>
      <c r="C6" s="70">
        <v>104.29</v>
      </c>
      <c r="D6" s="4">
        <v>35</v>
      </c>
      <c r="E6" s="5">
        <v>5</v>
      </c>
      <c r="F6" s="68">
        <f t="shared" si="0"/>
        <v>521.45000000000005</v>
      </c>
      <c r="G6" s="13"/>
    </row>
    <row r="7" spans="1:7" x14ac:dyDescent="0.25">
      <c r="A7" s="15">
        <v>3</v>
      </c>
      <c r="B7" s="3" t="s">
        <v>86</v>
      </c>
      <c r="C7" s="70">
        <v>104.29</v>
      </c>
      <c r="D7" s="4">
        <v>36</v>
      </c>
      <c r="E7" s="5">
        <v>12</v>
      </c>
      <c r="F7" s="68">
        <f t="shared" si="0"/>
        <v>1251.48</v>
      </c>
      <c r="G7" s="13"/>
    </row>
    <row r="8" spans="1:7" x14ac:dyDescent="0.25">
      <c r="A8" s="15">
        <v>4</v>
      </c>
      <c r="B8" s="3" t="s">
        <v>86</v>
      </c>
      <c r="C8" s="70">
        <v>104.29</v>
      </c>
      <c r="D8" s="3">
        <v>37</v>
      </c>
      <c r="E8" s="5">
        <v>10</v>
      </c>
      <c r="F8" s="68">
        <f t="shared" si="0"/>
        <v>1042.9000000000001</v>
      </c>
      <c r="G8" s="13"/>
    </row>
    <row r="9" spans="1:7" x14ac:dyDescent="0.25">
      <c r="A9" s="15">
        <v>5</v>
      </c>
      <c r="B9" s="3" t="s">
        <v>86</v>
      </c>
      <c r="C9" s="70">
        <v>104.29</v>
      </c>
      <c r="D9" s="7">
        <v>38</v>
      </c>
      <c r="E9" s="5">
        <v>11</v>
      </c>
      <c r="F9" s="68">
        <f t="shared" si="0"/>
        <v>1147.19</v>
      </c>
      <c r="G9" s="13"/>
    </row>
    <row r="10" spans="1:7" x14ac:dyDescent="0.25">
      <c r="A10" s="15">
        <v>6</v>
      </c>
      <c r="B10" s="3" t="s">
        <v>86</v>
      </c>
      <c r="C10" s="70">
        <v>104.29</v>
      </c>
      <c r="D10" s="4">
        <v>39</v>
      </c>
      <c r="E10" s="5">
        <v>18</v>
      </c>
      <c r="F10" s="68">
        <f t="shared" si="0"/>
        <v>1877.22</v>
      </c>
      <c r="G10" s="13"/>
    </row>
    <row r="11" spans="1:7" x14ac:dyDescent="0.25">
      <c r="A11" s="15">
        <v>7</v>
      </c>
      <c r="B11" s="3" t="s">
        <v>86</v>
      </c>
      <c r="C11" s="70">
        <v>104.29</v>
      </c>
      <c r="D11" s="4">
        <v>40</v>
      </c>
      <c r="E11" s="5">
        <v>20</v>
      </c>
      <c r="F11" s="68">
        <f t="shared" si="0"/>
        <v>2085.8000000000002</v>
      </c>
      <c r="G11" s="13"/>
    </row>
    <row r="12" spans="1:7" x14ac:dyDescent="0.25">
      <c r="A12" s="15">
        <v>8</v>
      </c>
      <c r="B12" s="3" t="s">
        <v>86</v>
      </c>
      <c r="C12" s="70">
        <v>104.29</v>
      </c>
      <c r="D12" s="3">
        <v>41</v>
      </c>
      <c r="E12" s="5">
        <v>15</v>
      </c>
      <c r="F12" s="68">
        <f t="shared" si="0"/>
        <v>1564.3500000000001</v>
      </c>
      <c r="G12" s="13"/>
    </row>
    <row r="13" spans="1:7" x14ac:dyDescent="0.25">
      <c r="A13" s="15">
        <v>9</v>
      </c>
      <c r="B13" s="3" t="s">
        <v>86</v>
      </c>
      <c r="C13" s="70">
        <v>104.29</v>
      </c>
      <c r="D13" s="3">
        <v>42</v>
      </c>
      <c r="E13" s="5">
        <v>12</v>
      </c>
      <c r="F13" s="68">
        <f t="shared" si="0"/>
        <v>1251.48</v>
      </c>
      <c r="G13" s="13"/>
    </row>
    <row r="14" spans="1:7" x14ac:dyDescent="0.25">
      <c r="A14" s="15">
        <v>10</v>
      </c>
      <c r="B14" s="3" t="s">
        <v>86</v>
      </c>
      <c r="C14" s="70">
        <v>104.29</v>
      </c>
      <c r="D14" s="3">
        <v>43</v>
      </c>
      <c r="E14" s="5">
        <v>16</v>
      </c>
      <c r="F14" s="68">
        <f t="shared" si="0"/>
        <v>1668.64</v>
      </c>
      <c r="G14" s="13"/>
    </row>
    <row r="15" spans="1:7" x14ac:dyDescent="0.25">
      <c r="A15" s="15">
        <v>11</v>
      </c>
      <c r="B15" s="3" t="s">
        <v>86</v>
      </c>
      <c r="C15" s="70">
        <v>104.29</v>
      </c>
      <c r="D15" s="3">
        <v>44</v>
      </c>
      <c r="E15" s="5">
        <v>12</v>
      </c>
      <c r="F15" s="68">
        <f t="shared" si="0"/>
        <v>1251.48</v>
      </c>
      <c r="G15" s="13"/>
    </row>
    <row r="16" spans="1:7" x14ac:dyDescent="0.25">
      <c r="A16" s="15">
        <v>12</v>
      </c>
      <c r="B16" s="3" t="s">
        <v>86</v>
      </c>
      <c r="C16" s="70">
        <v>104.29</v>
      </c>
      <c r="D16" s="3">
        <v>45</v>
      </c>
      <c r="E16" s="5">
        <v>6</v>
      </c>
      <c r="F16" s="68">
        <f t="shared" si="0"/>
        <v>625.74</v>
      </c>
      <c r="G16" s="13"/>
    </row>
    <row r="17" spans="1:7" x14ac:dyDescent="0.25">
      <c r="A17" s="15">
        <v>13</v>
      </c>
      <c r="B17" s="3" t="s">
        <v>86</v>
      </c>
      <c r="C17" s="70">
        <v>104.29</v>
      </c>
      <c r="D17" s="3">
        <v>46</v>
      </c>
      <c r="E17" s="5">
        <v>4</v>
      </c>
      <c r="F17" s="68">
        <f t="shared" si="0"/>
        <v>417.16</v>
      </c>
      <c r="G17" s="13"/>
    </row>
    <row r="18" spans="1:7" x14ac:dyDescent="0.25">
      <c r="A18" s="15">
        <v>14</v>
      </c>
      <c r="B18" s="8" t="s">
        <v>87</v>
      </c>
      <c r="C18" s="69">
        <v>40</v>
      </c>
      <c r="D18" s="3" t="s">
        <v>31</v>
      </c>
      <c r="E18" s="5">
        <v>0</v>
      </c>
      <c r="F18" s="68">
        <f t="shared" si="0"/>
        <v>0</v>
      </c>
      <c r="G18" s="13"/>
    </row>
    <row r="19" spans="1:7" x14ac:dyDescent="0.25">
      <c r="A19" s="15">
        <v>15</v>
      </c>
      <c r="B19" s="8" t="s">
        <v>87</v>
      </c>
      <c r="C19" s="69">
        <v>40</v>
      </c>
      <c r="D19" s="3" t="s">
        <v>28</v>
      </c>
      <c r="E19" s="5">
        <v>0</v>
      </c>
      <c r="F19" s="68">
        <f t="shared" si="0"/>
        <v>0</v>
      </c>
      <c r="G19" s="13"/>
    </row>
    <row r="20" spans="1:7" x14ac:dyDescent="0.25">
      <c r="A20" s="15">
        <v>16</v>
      </c>
      <c r="B20" s="8" t="s">
        <v>87</v>
      </c>
      <c r="C20" s="69">
        <v>40</v>
      </c>
      <c r="D20" s="6" t="s">
        <v>29</v>
      </c>
      <c r="E20" s="5">
        <v>20</v>
      </c>
      <c r="F20" s="68">
        <f t="shared" si="0"/>
        <v>800</v>
      </c>
      <c r="G20" s="13"/>
    </row>
    <row r="21" spans="1:7" x14ac:dyDescent="0.25">
      <c r="A21" s="15">
        <v>17</v>
      </c>
      <c r="B21" s="8" t="s">
        <v>87</v>
      </c>
      <c r="C21" s="69">
        <v>40</v>
      </c>
      <c r="D21" s="3" t="s">
        <v>37</v>
      </c>
      <c r="E21" s="5">
        <v>0</v>
      </c>
      <c r="F21" s="68">
        <f t="shared" si="0"/>
        <v>0</v>
      </c>
      <c r="G21" s="13"/>
    </row>
    <row r="22" spans="1:7" x14ac:dyDescent="0.25">
      <c r="A22" s="15">
        <v>18</v>
      </c>
      <c r="B22" s="9" t="s">
        <v>40</v>
      </c>
      <c r="C22" s="68">
        <v>87.97</v>
      </c>
      <c r="D22" s="3"/>
      <c r="E22" s="5">
        <v>25</v>
      </c>
      <c r="F22" s="68">
        <f t="shared" si="0"/>
        <v>2199.25</v>
      </c>
      <c r="G22" s="13"/>
    </row>
    <row r="23" spans="1:7" x14ac:dyDescent="0.25">
      <c r="A23" s="15">
        <v>19</v>
      </c>
      <c r="B23" s="7" t="s">
        <v>127</v>
      </c>
      <c r="C23" s="71">
        <v>39</v>
      </c>
      <c r="D23" s="6"/>
      <c r="E23" s="5">
        <v>30</v>
      </c>
      <c r="F23" s="68">
        <f t="shared" si="0"/>
        <v>1170</v>
      </c>
      <c r="G23" s="13"/>
    </row>
    <row r="24" spans="1:7" x14ac:dyDescent="0.25">
      <c r="A24" s="15">
        <v>21</v>
      </c>
      <c r="B24" s="9" t="s">
        <v>96</v>
      </c>
      <c r="C24" s="68">
        <v>38</v>
      </c>
      <c r="D24" s="6"/>
      <c r="E24" s="5">
        <v>80</v>
      </c>
      <c r="F24" s="68">
        <f t="shared" si="0"/>
        <v>3040</v>
      </c>
      <c r="G24" s="13"/>
    </row>
    <row r="25" spans="1:7" x14ac:dyDescent="0.25">
      <c r="A25" s="15">
        <v>22</v>
      </c>
      <c r="B25" s="9" t="s">
        <v>64</v>
      </c>
      <c r="C25" s="72">
        <v>4.8499999999999996</v>
      </c>
      <c r="D25" s="6"/>
      <c r="E25" s="5">
        <v>60</v>
      </c>
      <c r="F25" s="68">
        <f t="shared" si="0"/>
        <v>291</v>
      </c>
      <c r="G25" s="13"/>
    </row>
    <row r="26" spans="1:7" x14ac:dyDescent="0.25">
      <c r="A26" s="15">
        <v>23</v>
      </c>
      <c r="B26" s="10" t="s">
        <v>63</v>
      </c>
      <c r="C26" s="73">
        <v>4</v>
      </c>
      <c r="D26" s="6"/>
      <c r="E26" s="5">
        <v>58</v>
      </c>
      <c r="F26" s="68">
        <f t="shared" si="0"/>
        <v>232</v>
      </c>
      <c r="G26" s="13"/>
    </row>
    <row r="27" spans="1:7" x14ac:dyDescent="0.25">
      <c r="A27" s="15">
        <v>24</v>
      </c>
      <c r="B27" s="10" t="s">
        <v>42</v>
      </c>
      <c r="C27" s="68">
        <v>21</v>
      </c>
      <c r="D27" s="6"/>
      <c r="E27" s="5">
        <v>5</v>
      </c>
      <c r="F27" s="68">
        <f t="shared" si="0"/>
        <v>105</v>
      </c>
      <c r="G27" s="13"/>
    </row>
    <row r="28" spans="1:7" x14ac:dyDescent="0.25">
      <c r="A28" s="15">
        <v>25</v>
      </c>
      <c r="B28" s="9" t="s">
        <v>90</v>
      </c>
      <c r="C28" s="68">
        <v>28.94</v>
      </c>
      <c r="D28" s="6"/>
      <c r="E28" s="5">
        <v>18</v>
      </c>
      <c r="F28" s="68">
        <f t="shared" si="0"/>
        <v>520.92000000000007</v>
      </c>
      <c r="G28" s="13"/>
    </row>
    <row r="29" spans="1:7" x14ac:dyDescent="0.25">
      <c r="A29" s="15">
        <v>26</v>
      </c>
      <c r="B29" s="8" t="s">
        <v>357</v>
      </c>
      <c r="C29" s="68">
        <v>15.19</v>
      </c>
      <c r="D29" s="6"/>
      <c r="E29" s="5">
        <v>94</v>
      </c>
      <c r="F29" s="68">
        <f t="shared" si="0"/>
        <v>1427.86</v>
      </c>
      <c r="G29" s="13"/>
    </row>
    <row r="30" spans="1:7" ht="15" customHeight="1" x14ac:dyDescent="0.25">
      <c r="A30" s="15">
        <v>28</v>
      </c>
      <c r="B30" s="11" t="s">
        <v>10</v>
      </c>
      <c r="C30" s="68">
        <v>126.1</v>
      </c>
      <c r="D30" s="6"/>
      <c r="E30" s="5">
        <v>0</v>
      </c>
      <c r="F30" s="68">
        <f t="shared" si="0"/>
        <v>0</v>
      </c>
      <c r="G30" s="13"/>
    </row>
    <row r="31" spans="1:7" ht="15" customHeight="1" x14ac:dyDescent="0.25">
      <c r="A31" s="15">
        <v>29</v>
      </c>
      <c r="B31" s="11" t="s">
        <v>38</v>
      </c>
      <c r="C31" s="68">
        <v>75</v>
      </c>
      <c r="D31" s="6"/>
      <c r="E31" s="5">
        <v>30</v>
      </c>
      <c r="F31" s="68">
        <f t="shared" si="0"/>
        <v>2250</v>
      </c>
      <c r="G31" s="13"/>
    </row>
    <row r="32" spans="1:7" ht="15" customHeight="1" x14ac:dyDescent="0.25">
      <c r="A32" s="15">
        <v>30</v>
      </c>
      <c r="B32" s="11" t="s">
        <v>41</v>
      </c>
      <c r="C32" s="68">
        <v>584.20000000000005</v>
      </c>
      <c r="D32" s="6"/>
      <c r="E32" s="5">
        <v>4</v>
      </c>
      <c r="F32" s="68">
        <f t="shared" si="0"/>
        <v>2336.8000000000002</v>
      </c>
      <c r="G32" s="13"/>
    </row>
    <row r="33" spans="1:8" ht="18" customHeight="1" x14ac:dyDescent="0.25">
      <c r="A33" s="15">
        <v>31</v>
      </c>
      <c r="B33" s="11" t="s">
        <v>69</v>
      </c>
      <c r="C33" s="68">
        <v>890.46</v>
      </c>
      <c r="D33" s="6"/>
      <c r="E33" s="5">
        <v>9</v>
      </c>
      <c r="F33" s="68">
        <f t="shared" si="0"/>
        <v>8014.14</v>
      </c>
      <c r="G33" s="13"/>
    </row>
    <row r="34" spans="1:8" ht="18" customHeight="1" x14ac:dyDescent="0.25">
      <c r="A34" s="15">
        <v>32</v>
      </c>
      <c r="B34" s="11" t="s">
        <v>70</v>
      </c>
      <c r="C34" s="68">
        <v>355</v>
      </c>
      <c r="D34" s="6"/>
      <c r="E34" s="5">
        <v>7</v>
      </c>
      <c r="F34" s="68">
        <f t="shared" si="0"/>
        <v>2485</v>
      </c>
      <c r="G34" s="13"/>
    </row>
    <row r="35" spans="1:8" ht="18" customHeight="1" x14ac:dyDescent="0.25">
      <c r="A35" s="15">
        <v>33</v>
      </c>
      <c r="B35" s="11" t="s">
        <v>71</v>
      </c>
      <c r="C35" s="68">
        <v>280.39</v>
      </c>
      <c r="D35" s="6"/>
      <c r="E35" s="5">
        <v>2</v>
      </c>
      <c r="F35" s="68">
        <f t="shared" si="0"/>
        <v>560.78</v>
      </c>
      <c r="G35" s="13"/>
    </row>
    <row r="36" spans="1:8" ht="18" customHeight="1" x14ac:dyDescent="0.25">
      <c r="A36" s="15">
        <v>34</v>
      </c>
      <c r="B36" s="11" t="s">
        <v>73</v>
      </c>
      <c r="C36" s="68">
        <v>311.64999999999998</v>
      </c>
      <c r="D36" s="6"/>
      <c r="E36" s="5">
        <v>7</v>
      </c>
      <c r="F36" s="68">
        <f t="shared" si="0"/>
        <v>2181.5499999999997</v>
      </c>
      <c r="G36" s="13"/>
    </row>
    <row r="37" spans="1:8" ht="18" customHeight="1" x14ac:dyDescent="0.25">
      <c r="A37" s="93"/>
      <c r="B37" s="94"/>
      <c r="C37" s="98"/>
      <c r="D37" s="91"/>
      <c r="E37" s="32"/>
      <c r="F37" s="98">
        <f>SUM(F5:F36)</f>
        <v>42423.48</v>
      </c>
      <c r="G37" s="95"/>
      <c r="H37" s="104">
        <v>42423.48</v>
      </c>
    </row>
    <row r="38" spans="1:8" ht="18" customHeight="1" x14ac:dyDescent="0.25">
      <c r="A38" s="503" t="s">
        <v>75</v>
      </c>
      <c r="B38" s="503"/>
      <c r="C38" s="503"/>
      <c r="D38" s="503"/>
      <c r="E38" s="503"/>
      <c r="F38" s="503"/>
      <c r="G38" s="503"/>
    </row>
    <row r="39" spans="1:8" ht="18" customHeight="1" x14ac:dyDescent="0.25">
      <c r="A39" s="33">
        <v>35</v>
      </c>
      <c r="B39" s="34" t="s">
        <v>76</v>
      </c>
      <c r="C39" s="34"/>
      <c r="D39" s="44"/>
      <c r="E39" s="35">
        <v>20</v>
      </c>
      <c r="F39" s="62"/>
      <c r="G39" s="56">
        <v>200</v>
      </c>
    </row>
    <row r="40" spans="1:8" x14ac:dyDescent="0.25">
      <c r="A40" s="33">
        <v>36</v>
      </c>
      <c r="B40" s="34" t="s">
        <v>77</v>
      </c>
      <c r="C40" s="34"/>
      <c r="D40" s="44"/>
      <c r="E40" s="35">
        <v>200</v>
      </c>
      <c r="F40" s="62"/>
      <c r="G40" s="56">
        <v>150</v>
      </c>
    </row>
    <row r="41" spans="1:8" ht="18" customHeight="1" x14ac:dyDescent="0.25">
      <c r="A41" s="33">
        <v>37</v>
      </c>
      <c r="B41" s="34" t="s">
        <v>78</v>
      </c>
      <c r="C41" s="34"/>
      <c r="D41" s="44"/>
      <c r="E41" s="35">
        <v>200</v>
      </c>
      <c r="F41" s="62"/>
      <c r="G41" s="56">
        <v>150</v>
      </c>
    </row>
    <row r="42" spans="1:8" ht="18" customHeight="1" x14ac:dyDescent="0.25">
      <c r="A42" s="37">
        <v>38</v>
      </c>
      <c r="B42" s="38" t="s">
        <v>79</v>
      </c>
      <c r="C42" s="38"/>
      <c r="D42" s="45"/>
      <c r="E42" s="39">
        <v>300</v>
      </c>
      <c r="F42" s="64"/>
      <c r="G42" s="57">
        <v>150</v>
      </c>
    </row>
    <row r="43" spans="1:8" x14ac:dyDescent="0.25">
      <c r="A43" s="507" t="s">
        <v>163</v>
      </c>
      <c r="B43" s="507"/>
      <c r="C43" s="507"/>
      <c r="D43" s="507"/>
      <c r="E43" s="507"/>
      <c r="F43" s="507"/>
      <c r="G43" s="507"/>
    </row>
    <row r="44" spans="1:8" x14ac:dyDescent="0.25">
      <c r="A44" s="41">
        <v>39</v>
      </c>
      <c r="B44" s="42" t="s">
        <v>76</v>
      </c>
      <c r="C44" s="42"/>
      <c r="D44" s="43"/>
      <c r="E44" s="35">
        <v>4</v>
      </c>
      <c r="F44" s="58"/>
      <c r="G44" s="58">
        <v>100</v>
      </c>
    </row>
    <row r="45" spans="1:8" x14ac:dyDescent="0.25">
      <c r="A45" s="41">
        <v>40</v>
      </c>
      <c r="B45" s="42" t="s">
        <v>77</v>
      </c>
      <c r="C45" s="42"/>
      <c r="D45" s="43"/>
      <c r="E45" s="35">
        <v>100</v>
      </c>
      <c r="F45" s="58"/>
      <c r="G45" s="58">
        <v>50</v>
      </c>
    </row>
    <row r="46" spans="1:8" x14ac:dyDescent="0.25">
      <c r="A46" s="41">
        <v>41</v>
      </c>
      <c r="B46" s="42" t="s">
        <v>78</v>
      </c>
      <c r="C46" s="42"/>
      <c r="D46" s="43"/>
      <c r="E46" s="35">
        <v>50</v>
      </c>
      <c r="F46" s="58"/>
      <c r="G46" s="58">
        <v>100</v>
      </c>
    </row>
    <row r="47" spans="1:8" x14ac:dyDescent="0.25">
      <c r="A47" s="41">
        <v>42</v>
      </c>
      <c r="B47" s="42" t="s">
        <v>79</v>
      </c>
      <c r="C47" s="42"/>
      <c r="D47" s="43"/>
      <c r="E47" s="35">
        <v>64</v>
      </c>
      <c r="F47" s="58"/>
      <c r="G47" s="58">
        <v>150</v>
      </c>
    </row>
    <row r="50" spans="2:3" x14ac:dyDescent="0.25">
      <c r="B50" s="54" t="s">
        <v>358</v>
      </c>
      <c r="C50" s="54"/>
    </row>
  </sheetData>
  <mergeCells count="5">
    <mergeCell ref="A1:G1"/>
    <mergeCell ref="A2:G2"/>
    <mergeCell ref="A3:G3"/>
    <mergeCell ref="A38:G38"/>
    <mergeCell ref="A43:G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9471-AE90-4A72-8698-4C9EAE2F8094}">
  <sheetPr>
    <tabColor rgb="FFF8CBAD"/>
  </sheetPr>
  <dimension ref="A1:H50"/>
  <sheetViews>
    <sheetView workbookViewId="0">
      <selection activeCell="A4" sqref="A4"/>
    </sheetView>
  </sheetViews>
  <sheetFormatPr defaultRowHeight="15" x14ac:dyDescent="0.25"/>
  <cols>
    <col min="2" max="2" width="56.85546875" customWidth="1"/>
    <col min="3" max="3" width="9.5703125" customWidth="1"/>
    <col min="4" max="4" width="14" customWidth="1"/>
    <col min="5" max="6" width="12.7109375" customWidth="1"/>
    <col min="7" max="7" width="14.140625" customWidth="1"/>
    <col min="8" max="8" width="15.42578125" customWidth="1"/>
  </cols>
  <sheetData>
    <row r="1" spans="1:7" ht="18" customHeight="1" x14ac:dyDescent="0.25">
      <c r="A1" s="443" t="s">
        <v>359</v>
      </c>
      <c r="B1" s="444"/>
      <c r="C1" s="444"/>
      <c r="D1" s="444"/>
      <c r="E1" s="444"/>
      <c r="F1" s="454"/>
      <c r="G1" s="445"/>
    </row>
    <row r="2" spans="1:7" ht="18" customHeight="1" x14ac:dyDescent="0.25">
      <c r="A2" s="446" t="s">
        <v>319</v>
      </c>
      <c r="B2" s="447"/>
      <c r="C2" s="447"/>
      <c r="D2" s="447"/>
      <c r="E2" s="447"/>
      <c r="F2" s="455"/>
      <c r="G2" s="448"/>
    </row>
    <row r="3" spans="1:7" ht="18" customHeight="1" x14ac:dyDescent="0.25">
      <c r="A3" s="456" t="s">
        <v>360</v>
      </c>
      <c r="B3" s="457"/>
      <c r="C3" s="457"/>
      <c r="D3" s="457"/>
      <c r="E3" s="457"/>
      <c r="F3" s="457"/>
      <c r="G3" s="458"/>
    </row>
    <row r="4" spans="1:7" x14ac:dyDescent="0.25">
      <c r="A4" s="14" t="s">
        <v>3</v>
      </c>
      <c r="B4" s="14" t="s">
        <v>4</v>
      </c>
      <c r="C4" s="60" t="s">
        <v>361</v>
      </c>
      <c r="D4" s="2" t="s">
        <v>6</v>
      </c>
      <c r="E4" s="2" t="s">
        <v>7</v>
      </c>
      <c r="F4" s="61" t="s">
        <v>362</v>
      </c>
      <c r="G4" s="12" t="s">
        <v>9</v>
      </c>
    </row>
    <row r="5" spans="1:7" x14ac:dyDescent="0.25">
      <c r="A5" s="15">
        <v>1</v>
      </c>
      <c r="B5" s="3" t="s">
        <v>86</v>
      </c>
      <c r="C5" s="70">
        <v>104.29</v>
      </c>
      <c r="D5" s="4">
        <v>34</v>
      </c>
      <c r="E5" s="5">
        <v>4</v>
      </c>
      <c r="F5" s="68">
        <f t="shared" ref="F5:F36" si="0">C5*E5</f>
        <v>417.16</v>
      </c>
      <c r="G5" s="13"/>
    </row>
    <row r="6" spans="1:7" x14ac:dyDescent="0.25">
      <c r="A6" s="15">
        <v>2</v>
      </c>
      <c r="B6" s="3" t="s">
        <v>86</v>
      </c>
      <c r="C6" s="70">
        <v>104.29</v>
      </c>
      <c r="D6" s="4">
        <v>35</v>
      </c>
      <c r="E6" s="5">
        <v>4</v>
      </c>
      <c r="F6" s="68">
        <f t="shared" si="0"/>
        <v>417.16</v>
      </c>
      <c r="G6" s="13"/>
    </row>
    <row r="7" spans="1:7" x14ac:dyDescent="0.25">
      <c r="A7" s="15">
        <v>3</v>
      </c>
      <c r="B7" s="3" t="s">
        <v>86</v>
      </c>
      <c r="C7" s="70">
        <v>104.29</v>
      </c>
      <c r="D7" s="4">
        <v>36</v>
      </c>
      <c r="E7" s="5">
        <v>4</v>
      </c>
      <c r="F7" s="68">
        <f t="shared" si="0"/>
        <v>417.16</v>
      </c>
      <c r="G7" s="13"/>
    </row>
    <row r="8" spans="1:7" x14ac:dyDescent="0.25">
      <c r="A8" s="15">
        <v>4</v>
      </c>
      <c r="B8" s="3" t="s">
        <v>86</v>
      </c>
      <c r="C8" s="70">
        <v>104.29</v>
      </c>
      <c r="D8" s="3">
        <v>37</v>
      </c>
      <c r="E8" s="5">
        <v>5</v>
      </c>
      <c r="F8" s="68">
        <f t="shared" si="0"/>
        <v>521.45000000000005</v>
      </c>
      <c r="G8" s="13"/>
    </row>
    <row r="9" spans="1:7" x14ac:dyDescent="0.25">
      <c r="A9" s="15">
        <v>5</v>
      </c>
      <c r="B9" s="3" t="s">
        <v>86</v>
      </c>
      <c r="C9" s="70">
        <v>104.29</v>
      </c>
      <c r="D9" s="7">
        <v>38</v>
      </c>
      <c r="E9" s="5">
        <v>8</v>
      </c>
      <c r="F9" s="68">
        <f t="shared" si="0"/>
        <v>834.32</v>
      </c>
      <c r="G9" s="13"/>
    </row>
    <row r="10" spans="1:7" x14ac:dyDescent="0.25">
      <c r="A10" s="15">
        <v>6</v>
      </c>
      <c r="B10" s="3" t="s">
        <v>86</v>
      </c>
      <c r="C10" s="70">
        <v>104.29</v>
      </c>
      <c r="D10" s="4">
        <v>39</v>
      </c>
      <c r="E10" s="5">
        <v>8</v>
      </c>
      <c r="F10" s="68">
        <f t="shared" si="0"/>
        <v>834.32</v>
      </c>
      <c r="G10" s="13"/>
    </row>
    <row r="11" spans="1:7" x14ac:dyDescent="0.25">
      <c r="A11" s="15">
        <v>7</v>
      </c>
      <c r="B11" s="3" t="s">
        <v>86</v>
      </c>
      <c r="C11" s="70">
        <v>104.29</v>
      </c>
      <c r="D11" s="4">
        <v>40</v>
      </c>
      <c r="E11" s="5">
        <v>4</v>
      </c>
      <c r="F11" s="68">
        <f t="shared" si="0"/>
        <v>417.16</v>
      </c>
      <c r="G11" s="13"/>
    </row>
    <row r="12" spans="1:7" x14ac:dyDescent="0.25">
      <c r="A12" s="15">
        <v>8</v>
      </c>
      <c r="B12" s="3" t="s">
        <v>86</v>
      </c>
      <c r="C12" s="70">
        <v>104.29</v>
      </c>
      <c r="D12" s="3">
        <v>41</v>
      </c>
      <c r="E12" s="5">
        <v>5</v>
      </c>
      <c r="F12" s="68">
        <f t="shared" si="0"/>
        <v>521.45000000000005</v>
      </c>
      <c r="G12" s="13"/>
    </row>
    <row r="13" spans="1:7" x14ac:dyDescent="0.25">
      <c r="A13" s="15">
        <v>9</v>
      </c>
      <c r="B13" s="3" t="s">
        <v>86</v>
      </c>
      <c r="C13" s="70">
        <v>104.29</v>
      </c>
      <c r="D13" s="3">
        <v>42</v>
      </c>
      <c r="E13" s="5">
        <v>10</v>
      </c>
      <c r="F13" s="68">
        <f t="shared" si="0"/>
        <v>1042.9000000000001</v>
      </c>
      <c r="G13" s="13"/>
    </row>
    <row r="14" spans="1:7" x14ac:dyDescent="0.25">
      <c r="A14" s="15">
        <v>10</v>
      </c>
      <c r="B14" s="3" t="s">
        <v>86</v>
      </c>
      <c r="C14" s="70">
        <v>104.29</v>
      </c>
      <c r="D14" s="3">
        <v>43</v>
      </c>
      <c r="E14" s="5">
        <v>10</v>
      </c>
      <c r="F14" s="68">
        <f t="shared" si="0"/>
        <v>1042.9000000000001</v>
      </c>
      <c r="G14" s="13"/>
    </row>
    <row r="15" spans="1:7" x14ac:dyDescent="0.25">
      <c r="A15" s="15">
        <v>11</v>
      </c>
      <c r="B15" s="3" t="s">
        <v>86</v>
      </c>
      <c r="C15" s="70">
        <v>104.29</v>
      </c>
      <c r="D15" s="3">
        <v>44</v>
      </c>
      <c r="E15" s="5">
        <v>5</v>
      </c>
      <c r="F15" s="68">
        <f t="shared" si="0"/>
        <v>521.45000000000005</v>
      </c>
      <c r="G15" s="13"/>
    </row>
    <row r="16" spans="1:7" x14ac:dyDescent="0.25">
      <c r="A16" s="15">
        <v>12</v>
      </c>
      <c r="B16" s="3" t="s">
        <v>86</v>
      </c>
      <c r="C16" s="70">
        <v>104.29</v>
      </c>
      <c r="D16" s="3">
        <v>45</v>
      </c>
      <c r="E16" s="5">
        <v>2</v>
      </c>
      <c r="F16" s="68">
        <f t="shared" si="0"/>
        <v>208.58</v>
      </c>
      <c r="G16" s="13"/>
    </row>
    <row r="17" spans="1:7" x14ac:dyDescent="0.25">
      <c r="A17" s="15">
        <v>13</v>
      </c>
      <c r="B17" s="3" t="s">
        <v>86</v>
      </c>
      <c r="C17" s="70">
        <v>104.29</v>
      </c>
      <c r="D17" s="3">
        <v>46</v>
      </c>
      <c r="E17" s="5">
        <v>0</v>
      </c>
      <c r="F17" s="68">
        <f t="shared" si="0"/>
        <v>0</v>
      </c>
      <c r="G17" s="13"/>
    </row>
    <row r="18" spans="1:7" x14ac:dyDescent="0.25">
      <c r="A18" s="15">
        <v>14</v>
      </c>
      <c r="B18" s="8" t="s">
        <v>87</v>
      </c>
      <c r="C18" s="69">
        <v>40</v>
      </c>
      <c r="D18" s="3" t="s">
        <v>31</v>
      </c>
      <c r="E18" s="5">
        <v>0</v>
      </c>
      <c r="F18" s="68">
        <f t="shared" si="0"/>
        <v>0</v>
      </c>
      <c r="G18" s="13"/>
    </row>
    <row r="19" spans="1:7" x14ac:dyDescent="0.25">
      <c r="A19" s="15">
        <v>15</v>
      </c>
      <c r="B19" s="8" t="s">
        <v>87</v>
      </c>
      <c r="C19" s="69">
        <v>40</v>
      </c>
      <c r="D19" s="3" t="s">
        <v>28</v>
      </c>
      <c r="E19" s="5">
        <v>0</v>
      </c>
      <c r="F19" s="68">
        <f t="shared" si="0"/>
        <v>0</v>
      </c>
      <c r="G19" s="13"/>
    </row>
    <row r="20" spans="1:7" x14ac:dyDescent="0.25">
      <c r="A20" s="15">
        <v>16</v>
      </c>
      <c r="B20" s="8" t="s">
        <v>87</v>
      </c>
      <c r="C20" s="69">
        <v>40</v>
      </c>
      <c r="D20" s="6" t="s">
        <v>29</v>
      </c>
      <c r="E20" s="5">
        <v>10</v>
      </c>
      <c r="F20" s="68">
        <f t="shared" si="0"/>
        <v>400</v>
      </c>
      <c r="G20" s="13"/>
    </row>
    <row r="21" spans="1:7" x14ac:dyDescent="0.25">
      <c r="A21" s="15">
        <v>17</v>
      </c>
      <c r="B21" s="8" t="s">
        <v>87</v>
      </c>
      <c r="C21" s="69">
        <v>40</v>
      </c>
      <c r="D21" s="3" t="s">
        <v>37</v>
      </c>
      <c r="E21" s="5">
        <v>0</v>
      </c>
      <c r="F21" s="68">
        <f t="shared" si="0"/>
        <v>0</v>
      </c>
      <c r="G21" s="13"/>
    </row>
    <row r="22" spans="1:7" x14ac:dyDescent="0.25">
      <c r="A22" s="15">
        <v>18</v>
      </c>
      <c r="B22" s="9" t="s">
        <v>40</v>
      </c>
      <c r="C22" s="68">
        <v>87.97</v>
      </c>
      <c r="D22" s="3"/>
      <c r="E22" s="5">
        <v>15</v>
      </c>
      <c r="F22" s="68">
        <f t="shared" si="0"/>
        <v>1319.55</v>
      </c>
      <c r="G22" s="13"/>
    </row>
    <row r="23" spans="1:7" x14ac:dyDescent="0.25">
      <c r="A23" s="15">
        <v>19</v>
      </c>
      <c r="B23" s="7" t="s">
        <v>127</v>
      </c>
      <c r="C23" s="71">
        <v>39</v>
      </c>
      <c r="D23" s="6"/>
      <c r="E23" s="5">
        <v>25</v>
      </c>
      <c r="F23" s="68">
        <f t="shared" si="0"/>
        <v>975</v>
      </c>
      <c r="G23" s="13"/>
    </row>
    <row r="24" spans="1:7" x14ac:dyDescent="0.25">
      <c r="A24" s="15">
        <v>21</v>
      </c>
      <c r="B24" s="9" t="s">
        <v>96</v>
      </c>
      <c r="C24" s="68">
        <v>38</v>
      </c>
      <c r="D24" s="6"/>
      <c r="E24" s="5">
        <v>0</v>
      </c>
      <c r="F24" s="68">
        <f t="shared" si="0"/>
        <v>0</v>
      </c>
      <c r="G24" s="13"/>
    </row>
    <row r="25" spans="1:7" x14ac:dyDescent="0.25">
      <c r="A25" s="15">
        <v>22</v>
      </c>
      <c r="B25" s="9" t="s">
        <v>64</v>
      </c>
      <c r="C25" s="72">
        <v>4.8499999999999996</v>
      </c>
      <c r="D25" s="6"/>
      <c r="E25" s="5">
        <v>0</v>
      </c>
      <c r="F25" s="68">
        <f t="shared" si="0"/>
        <v>0</v>
      </c>
      <c r="G25" s="13"/>
    </row>
    <row r="26" spans="1:7" x14ac:dyDescent="0.25">
      <c r="A26" s="15">
        <v>23</v>
      </c>
      <c r="B26" s="10" t="s">
        <v>63</v>
      </c>
      <c r="C26" s="73">
        <v>4</v>
      </c>
      <c r="D26" s="6"/>
      <c r="E26" s="5">
        <v>0</v>
      </c>
      <c r="F26" s="68">
        <f t="shared" si="0"/>
        <v>0</v>
      </c>
      <c r="G26" s="13"/>
    </row>
    <row r="27" spans="1:7" x14ac:dyDescent="0.25">
      <c r="A27" s="15">
        <v>24</v>
      </c>
      <c r="B27" s="10" t="s">
        <v>42</v>
      </c>
      <c r="C27" s="68">
        <v>21</v>
      </c>
      <c r="D27" s="6"/>
      <c r="E27" s="5">
        <v>0</v>
      </c>
      <c r="F27" s="68">
        <f t="shared" si="0"/>
        <v>0</v>
      </c>
      <c r="G27" s="13"/>
    </row>
    <row r="28" spans="1:7" x14ac:dyDescent="0.25">
      <c r="A28" s="15">
        <v>25</v>
      </c>
      <c r="B28" s="9" t="s">
        <v>90</v>
      </c>
      <c r="C28" s="68">
        <v>28.94</v>
      </c>
      <c r="D28" s="6"/>
      <c r="E28" s="5">
        <v>10</v>
      </c>
      <c r="F28" s="68">
        <f t="shared" si="0"/>
        <v>289.40000000000003</v>
      </c>
      <c r="G28" s="13"/>
    </row>
    <row r="29" spans="1:7" x14ac:dyDescent="0.25">
      <c r="A29" s="15">
        <v>26</v>
      </c>
      <c r="B29" s="8" t="s">
        <v>363</v>
      </c>
      <c r="C29" s="68">
        <v>15.19</v>
      </c>
      <c r="D29" s="6"/>
      <c r="E29" s="5">
        <v>150</v>
      </c>
      <c r="F29" s="68">
        <f t="shared" si="0"/>
        <v>2278.5</v>
      </c>
      <c r="G29" s="13"/>
    </row>
    <row r="30" spans="1:7" ht="15" customHeight="1" x14ac:dyDescent="0.25">
      <c r="A30" s="15">
        <v>28</v>
      </c>
      <c r="B30" s="11" t="s">
        <v>10</v>
      </c>
      <c r="C30" s="68">
        <v>126.1</v>
      </c>
      <c r="D30" s="6"/>
      <c r="E30" s="5">
        <v>15</v>
      </c>
      <c r="F30" s="68">
        <f t="shared" si="0"/>
        <v>1891.5</v>
      </c>
      <c r="G30" s="13"/>
    </row>
    <row r="31" spans="1:7" ht="15" customHeight="1" x14ac:dyDescent="0.25">
      <c r="A31" s="15">
        <v>29</v>
      </c>
      <c r="B31" s="11" t="s">
        <v>38</v>
      </c>
      <c r="C31" s="97">
        <v>75</v>
      </c>
      <c r="D31" s="6"/>
      <c r="E31" s="5">
        <v>10</v>
      </c>
      <c r="F31" s="68">
        <f t="shared" si="0"/>
        <v>750</v>
      </c>
      <c r="G31" s="13"/>
    </row>
    <row r="32" spans="1:7" ht="15" customHeight="1" x14ac:dyDescent="0.25">
      <c r="A32" s="15">
        <v>30</v>
      </c>
      <c r="B32" s="11" t="s">
        <v>41</v>
      </c>
      <c r="C32" s="68">
        <v>584.20000000000005</v>
      </c>
      <c r="D32" s="6"/>
      <c r="E32" s="5">
        <v>15</v>
      </c>
      <c r="F32" s="68">
        <f t="shared" si="0"/>
        <v>8763</v>
      </c>
      <c r="G32" s="13"/>
    </row>
    <row r="33" spans="1:8" ht="18" customHeight="1" x14ac:dyDescent="0.25">
      <c r="A33" s="15">
        <v>31</v>
      </c>
      <c r="B33" s="11" t="s">
        <v>69</v>
      </c>
      <c r="C33" s="68">
        <v>890.46</v>
      </c>
      <c r="D33" s="6"/>
      <c r="E33" s="5">
        <v>2</v>
      </c>
      <c r="F33" s="68">
        <f t="shared" si="0"/>
        <v>1780.92</v>
      </c>
      <c r="G33" s="13"/>
    </row>
    <row r="34" spans="1:8" ht="18" customHeight="1" x14ac:dyDescent="0.25">
      <c r="A34" s="15">
        <v>32</v>
      </c>
      <c r="B34" s="11" t="s">
        <v>70</v>
      </c>
      <c r="C34" s="68">
        <v>355</v>
      </c>
      <c r="D34" s="6"/>
      <c r="E34" s="5">
        <v>15</v>
      </c>
      <c r="F34" s="68">
        <f t="shared" si="0"/>
        <v>5325</v>
      </c>
      <c r="G34" s="13"/>
    </row>
    <row r="35" spans="1:8" ht="18" customHeight="1" x14ac:dyDescent="0.25">
      <c r="A35" s="15">
        <v>33</v>
      </c>
      <c r="B35" s="11" t="s">
        <v>71</v>
      </c>
      <c r="C35" s="68">
        <v>280.39</v>
      </c>
      <c r="D35" s="6"/>
      <c r="E35" s="5">
        <v>0</v>
      </c>
      <c r="F35" s="68">
        <f t="shared" si="0"/>
        <v>0</v>
      </c>
      <c r="G35" s="13"/>
    </row>
    <row r="36" spans="1:8" ht="18" customHeight="1" x14ac:dyDescent="0.25">
      <c r="A36" s="15">
        <v>34</v>
      </c>
      <c r="B36" s="11" t="s">
        <v>73</v>
      </c>
      <c r="C36" s="68">
        <v>311.64999999999998</v>
      </c>
      <c r="D36" s="6"/>
      <c r="E36" s="5">
        <v>0</v>
      </c>
      <c r="F36" s="68">
        <f t="shared" si="0"/>
        <v>0</v>
      </c>
      <c r="G36" s="13"/>
    </row>
    <row r="37" spans="1:8" ht="18" customHeight="1" x14ac:dyDescent="0.25">
      <c r="A37" s="93"/>
      <c r="B37" s="94"/>
      <c r="C37" s="98"/>
      <c r="D37" s="91"/>
      <c r="E37" s="32"/>
      <c r="F37" s="98">
        <f>SUM(F5:F36)</f>
        <v>30968.879999999997</v>
      </c>
      <c r="G37" s="95"/>
      <c r="H37" s="96">
        <v>29578.34</v>
      </c>
    </row>
    <row r="38" spans="1:8" ht="18" customHeight="1" x14ac:dyDescent="0.25">
      <c r="A38" s="503" t="s">
        <v>75</v>
      </c>
      <c r="B38" s="503"/>
      <c r="C38" s="503"/>
      <c r="D38" s="503"/>
      <c r="E38" s="503"/>
      <c r="F38" s="503"/>
      <c r="G38" s="503"/>
    </row>
    <row r="39" spans="1:8" x14ac:dyDescent="0.25">
      <c r="A39" s="33">
        <v>35</v>
      </c>
      <c r="B39" s="34" t="s">
        <v>76</v>
      </c>
      <c r="C39" s="34"/>
      <c r="D39" s="44">
        <v>0</v>
      </c>
      <c r="E39" s="35">
        <v>0</v>
      </c>
      <c r="F39" s="62"/>
      <c r="G39" s="36"/>
    </row>
    <row r="40" spans="1:8" ht="18" customHeight="1" x14ac:dyDescent="0.25">
      <c r="A40" s="33">
        <v>36</v>
      </c>
      <c r="B40" s="34" t="s">
        <v>77</v>
      </c>
      <c r="C40" s="34"/>
      <c r="D40" s="44">
        <v>0</v>
      </c>
      <c r="E40" s="35">
        <v>0</v>
      </c>
      <c r="F40" s="62"/>
      <c r="G40" s="36"/>
      <c r="H40" s="96"/>
    </row>
    <row r="41" spans="1:8" ht="18" customHeight="1" x14ac:dyDescent="0.25">
      <c r="A41" s="33">
        <v>37</v>
      </c>
      <c r="B41" s="34" t="s">
        <v>78</v>
      </c>
      <c r="C41" s="34"/>
      <c r="D41" s="44">
        <v>0</v>
      </c>
      <c r="E41" s="35">
        <v>0</v>
      </c>
      <c r="F41" s="62"/>
      <c r="G41" s="36"/>
    </row>
    <row r="42" spans="1:8" x14ac:dyDescent="0.25">
      <c r="A42" s="37">
        <v>38</v>
      </c>
      <c r="B42" s="38" t="s">
        <v>79</v>
      </c>
      <c r="C42" s="38"/>
      <c r="D42" s="45">
        <v>0</v>
      </c>
      <c r="E42" s="35">
        <v>0</v>
      </c>
      <c r="F42" s="63"/>
      <c r="G42" s="40"/>
    </row>
    <row r="43" spans="1:8" x14ac:dyDescent="0.25">
      <c r="A43" s="507" t="s">
        <v>163</v>
      </c>
      <c r="B43" s="507"/>
      <c r="C43" s="507"/>
      <c r="D43" s="507"/>
      <c r="E43" s="507"/>
      <c r="F43" s="507"/>
      <c r="G43" s="507"/>
    </row>
    <row r="44" spans="1:8" x14ac:dyDescent="0.25">
      <c r="A44" s="41">
        <v>39</v>
      </c>
      <c r="B44" s="42" t="s">
        <v>76</v>
      </c>
      <c r="C44" s="42"/>
      <c r="D44" s="43">
        <v>0</v>
      </c>
      <c r="E44" s="35">
        <v>20</v>
      </c>
      <c r="F44" s="43"/>
      <c r="G44" s="43"/>
    </row>
    <row r="45" spans="1:8" x14ac:dyDescent="0.25">
      <c r="A45" s="41">
        <v>40</v>
      </c>
      <c r="B45" s="42" t="s">
        <v>77</v>
      </c>
      <c r="C45" s="42"/>
      <c r="D45" s="43">
        <v>0</v>
      </c>
      <c r="E45" s="35">
        <v>50</v>
      </c>
      <c r="F45" s="43"/>
      <c r="G45" s="43"/>
    </row>
    <row r="46" spans="1:8" x14ac:dyDescent="0.25">
      <c r="A46" s="41">
        <v>41</v>
      </c>
      <c r="B46" s="42" t="s">
        <v>78</v>
      </c>
      <c r="C46" s="42"/>
      <c r="D46" s="43">
        <v>0</v>
      </c>
      <c r="E46" s="35">
        <v>50</v>
      </c>
      <c r="F46" s="43"/>
      <c r="G46" s="43"/>
    </row>
    <row r="47" spans="1:8" x14ac:dyDescent="0.25">
      <c r="A47" s="41">
        <v>42</v>
      </c>
      <c r="B47" s="42" t="s">
        <v>79</v>
      </c>
      <c r="C47" s="42"/>
      <c r="D47" s="43">
        <v>0</v>
      </c>
      <c r="E47" s="35">
        <v>50</v>
      </c>
      <c r="F47" s="43"/>
      <c r="G47" s="43"/>
    </row>
    <row r="50" spans="1:3" x14ac:dyDescent="0.25">
      <c r="A50" s="518" t="s">
        <v>364</v>
      </c>
      <c r="B50" s="518"/>
      <c r="C50" s="54"/>
    </row>
  </sheetData>
  <mergeCells count="6">
    <mergeCell ref="A50:B50"/>
    <mergeCell ref="A1:G1"/>
    <mergeCell ref="A2:G2"/>
    <mergeCell ref="A3:G3"/>
    <mergeCell ref="A38:G38"/>
    <mergeCell ref="A43:G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5618FAA201204695F0AE5CAC13A6C5" ma:contentTypeVersion="16" ma:contentTypeDescription="Create a new document." ma:contentTypeScope="" ma:versionID="9c38e10ad7fdade24bc8a40c7a427731">
  <xsd:schema xmlns:xsd="http://www.w3.org/2001/XMLSchema" xmlns:xs="http://www.w3.org/2001/XMLSchema" xmlns:p="http://schemas.microsoft.com/office/2006/metadata/properties" xmlns:ns2="cb2d530f-0a15-4021-a325-a7ce9fe9a345" xmlns:ns3="2b9099ba-9d9e-4d94-819e-62c9150cf7a8" targetNamespace="http://schemas.microsoft.com/office/2006/metadata/properties" ma:root="true" ma:fieldsID="540a75d972193b5db9b99aafd9a1b073" ns2:_="" ns3:_="">
    <xsd:import namespace="cb2d530f-0a15-4021-a325-a7ce9fe9a345"/>
    <xsd:import namespace="2b9099ba-9d9e-4d94-819e-62c9150cf7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d530f-0a15-4021-a325-a7ce9fe9a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ebd722c-8eea-4fa2-a257-8118360c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099ba-9d9e-4d94-819e-62c9150cf7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b8af56-42e9-4f99-8b4b-61136be91dec}" ma:internalName="TaxCatchAll" ma:showField="CatchAllData" ma:web="2b9099ba-9d9e-4d94-819e-62c9150cf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d530f-0a15-4021-a325-a7ce9fe9a345">
      <Terms xmlns="http://schemas.microsoft.com/office/infopath/2007/PartnerControls"/>
    </lcf76f155ced4ddcb4097134ff3c332f>
    <TaxCatchAll xmlns="2b9099ba-9d9e-4d94-819e-62c9150cf7a8" xsi:nil="true"/>
  </documentManagement>
</p:properties>
</file>

<file path=customXml/itemProps1.xml><?xml version="1.0" encoding="utf-8"?>
<ds:datastoreItem xmlns:ds="http://schemas.openxmlformats.org/officeDocument/2006/customXml" ds:itemID="{F51FB2D7-E45E-40C7-9C1D-ABD8C6488E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B89C81-B41A-4AC2-AD74-45B2A937C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d530f-0a15-4021-a325-a7ce9fe9a345"/>
    <ds:schemaRef ds:uri="2b9099ba-9d9e-4d94-819e-62c9150cf7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0E3E57-C778-4902-8117-DD0BB344BE61}">
  <ds:schemaRefs>
    <ds:schemaRef ds:uri="http://schemas.microsoft.com/office/2006/metadata/properties"/>
    <ds:schemaRef ds:uri="2b9099ba-9d9e-4d94-819e-62c9150cf7a8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cb2d530f-0a15-4021-a325-a7ce9fe9a345"/>
    <ds:schemaRef ds:uri="http://purl.org/dc/elements/1.1/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2f6025fe-92e3-424e-a7af-253e5f1c34cb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ESTOQUE SUL - RS</vt:lpstr>
      <vt:lpstr>ESTOQUE SUL - SC</vt:lpstr>
      <vt:lpstr>ESTOQUE - SPO</vt:lpstr>
      <vt:lpstr>ESTOQUE SUL - PR</vt:lpstr>
      <vt:lpstr>ESTOQUE SDT - RJ</vt:lpstr>
      <vt:lpstr>ESTOQUE SDT-MG</vt:lpstr>
      <vt:lpstr>ESTOQUE SDT - ES</vt:lpstr>
      <vt:lpstr>ESTOQUE CWN - DF</vt:lpstr>
      <vt:lpstr>ESTOQUE CWN- PA</vt:lpstr>
      <vt:lpstr>ESTOQUE CWN - AM</vt:lpstr>
      <vt:lpstr>ESTOQUE CWN - MA</vt:lpstr>
      <vt:lpstr>ESTOQUE CWN - GO</vt:lpstr>
      <vt:lpstr>ESTOQUE CWN - MT</vt:lpstr>
      <vt:lpstr>ESTOQUE CWN - MS</vt:lpstr>
      <vt:lpstr>ESTOQUE NDT - BA</vt:lpstr>
      <vt:lpstr>ESTOQUE NDT - CE</vt:lpstr>
      <vt:lpstr>ESTOQUE NDT - 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Claudiana Cristina Santana Rodrigues</dc:creator>
  <cp:keywords/>
  <dc:description/>
  <cp:lastModifiedBy>Willander Ramos Dos Reis</cp:lastModifiedBy>
  <cp:revision/>
  <dcterms:created xsi:type="dcterms:W3CDTF">2021-06-16T15:45:17Z</dcterms:created>
  <dcterms:modified xsi:type="dcterms:W3CDTF">2026-08-21T12:17:27Z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0x010100D75618FAA201204695F0AE5CAC13A6C5</vt:lpwstr>
  </property>
  <property fmtid="{D5CDD505-2E9C-101B-9397-08002B2CF9AE}" pid="3" name="MediaServiceImageTags">
    <vt:lpwstr/>
  </property>
</Properties>
</file>